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data_analytics\batch_04\"/>
    </mc:Choice>
  </mc:AlternateContent>
  <bookViews>
    <workbookView xWindow="0" yWindow="0" windowWidth="28800" windowHeight="12330" activeTab="1"/>
  </bookViews>
  <sheets>
    <sheet name="Sheet1" sheetId="1" r:id="rId1"/>
    <sheet name="Sheet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11" i="2" l="1"/>
  <c r="E11" i="2" s="1"/>
  <c r="D12" i="2"/>
  <c r="F12" i="2" s="1"/>
  <c r="E12" i="2"/>
  <c r="D13" i="2"/>
  <c r="E13" i="2" s="1"/>
  <c r="D14" i="2"/>
  <c r="F14" i="2" s="1"/>
  <c r="E14" i="2"/>
  <c r="E9" i="2"/>
  <c r="H10" i="2" s="1"/>
  <c r="F9" i="2"/>
  <c r="E10" i="2"/>
  <c r="F10" i="2"/>
  <c r="H4" i="2"/>
  <c r="H5" i="2"/>
  <c r="H6" i="2"/>
  <c r="H7" i="2"/>
  <c r="H8" i="2"/>
  <c r="H9" i="2"/>
  <c r="H3" i="2"/>
  <c r="F4" i="2"/>
  <c r="F5" i="2"/>
  <c r="F6" i="2"/>
  <c r="F7" i="2"/>
  <c r="F8" i="2"/>
  <c r="F3" i="2"/>
  <c r="D4" i="2"/>
  <c r="D5" i="2"/>
  <c r="D6" i="2"/>
  <c r="E6" i="2" s="1"/>
  <c r="D7" i="2"/>
  <c r="D8" i="2"/>
  <c r="E8" i="2" s="1"/>
  <c r="D9" i="2"/>
  <c r="D10" i="2"/>
  <c r="E5" i="2"/>
  <c r="E7" i="2"/>
  <c r="E4" i="2"/>
  <c r="E3" i="2"/>
  <c r="B7" i="2"/>
  <c r="D3" i="2"/>
  <c r="B5" i="2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5" i="1"/>
  <c r="J6" i="1"/>
  <c r="J7" i="1"/>
  <c r="J8" i="1"/>
  <c r="J4" i="1"/>
  <c r="B4" i="2"/>
  <c r="G63" i="1"/>
  <c r="I63" i="1" s="1"/>
  <c r="H63" i="1"/>
  <c r="G12" i="1"/>
  <c r="I12" i="1" s="1"/>
  <c r="H12" i="1"/>
  <c r="G13" i="1"/>
  <c r="H13" i="1"/>
  <c r="I13" i="1"/>
  <c r="G14" i="1"/>
  <c r="H14" i="1"/>
  <c r="I14" i="1" s="1"/>
  <c r="G15" i="1"/>
  <c r="I15" i="1" s="1"/>
  <c r="H15" i="1"/>
  <c r="G16" i="1"/>
  <c r="I16" i="1" s="1"/>
  <c r="H16" i="1"/>
  <c r="G17" i="1"/>
  <c r="I17" i="1" s="1"/>
  <c r="H17" i="1"/>
  <c r="G18" i="1"/>
  <c r="H18" i="1"/>
  <c r="I18" i="1" s="1"/>
  <c r="G19" i="1"/>
  <c r="H19" i="1"/>
  <c r="I19" i="1"/>
  <c r="G20" i="1"/>
  <c r="I20" i="1" s="1"/>
  <c r="H20" i="1"/>
  <c r="G21" i="1"/>
  <c r="H21" i="1"/>
  <c r="I21" i="1"/>
  <c r="G22" i="1"/>
  <c r="I22" i="1" s="1"/>
  <c r="H22" i="1"/>
  <c r="G23" i="1"/>
  <c r="I23" i="1" s="1"/>
  <c r="H23" i="1"/>
  <c r="G24" i="1"/>
  <c r="I24" i="1" s="1"/>
  <c r="H24" i="1"/>
  <c r="G25" i="1"/>
  <c r="I25" i="1" s="1"/>
  <c r="H25" i="1"/>
  <c r="G26" i="1"/>
  <c r="H26" i="1"/>
  <c r="I26" i="1" s="1"/>
  <c r="G27" i="1"/>
  <c r="H27" i="1"/>
  <c r="I27" i="1"/>
  <c r="G28" i="1"/>
  <c r="I28" i="1" s="1"/>
  <c r="H28" i="1"/>
  <c r="G29" i="1"/>
  <c r="H29" i="1"/>
  <c r="I29" i="1"/>
  <c r="G30" i="1"/>
  <c r="I30" i="1" s="1"/>
  <c r="H30" i="1"/>
  <c r="G31" i="1"/>
  <c r="I31" i="1" s="1"/>
  <c r="H31" i="1"/>
  <c r="G32" i="1"/>
  <c r="I32" i="1" s="1"/>
  <c r="H32" i="1"/>
  <c r="G33" i="1"/>
  <c r="I33" i="1" s="1"/>
  <c r="H33" i="1"/>
  <c r="G34" i="1"/>
  <c r="H34" i="1"/>
  <c r="I34" i="1" s="1"/>
  <c r="G35" i="1"/>
  <c r="H35" i="1"/>
  <c r="I35" i="1"/>
  <c r="G36" i="1"/>
  <c r="I36" i="1" s="1"/>
  <c r="H36" i="1"/>
  <c r="G37" i="1"/>
  <c r="H37" i="1"/>
  <c r="I37" i="1"/>
  <c r="G38" i="1"/>
  <c r="I38" i="1" s="1"/>
  <c r="H38" i="1"/>
  <c r="G39" i="1"/>
  <c r="I39" i="1" s="1"/>
  <c r="H39" i="1"/>
  <c r="G40" i="1"/>
  <c r="I40" i="1" s="1"/>
  <c r="H40" i="1"/>
  <c r="G41" i="1"/>
  <c r="I41" i="1" s="1"/>
  <c r="H41" i="1"/>
  <c r="G42" i="1"/>
  <c r="H42" i="1"/>
  <c r="I42" i="1" s="1"/>
  <c r="G43" i="1"/>
  <c r="H43" i="1"/>
  <c r="I43" i="1"/>
  <c r="G44" i="1"/>
  <c r="I44" i="1" s="1"/>
  <c r="H44" i="1"/>
  <c r="G45" i="1"/>
  <c r="H45" i="1"/>
  <c r="I45" i="1"/>
  <c r="G46" i="1"/>
  <c r="I46" i="1" s="1"/>
  <c r="H46" i="1"/>
  <c r="G47" i="1"/>
  <c r="I47" i="1" s="1"/>
  <c r="H47" i="1"/>
  <c r="G48" i="1"/>
  <c r="I48" i="1" s="1"/>
  <c r="H48" i="1"/>
  <c r="G49" i="1"/>
  <c r="I49" i="1" s="1"/>
  <c r="H49" i="1"/>
  <c r="G50" i="1"/>
  <c r="H50" i="1"/>
  <c r="I50" i="1" s="1"/>
  <c r="G51" i="1"/>
  <c r="H51" i="1"/>
  <c r="I51" i="1"/>
  <c r="G52" i="1"/>
  <c r="I52" i="1" s="1"/>
  <c r="H52" i="1"/>
  <c r="G53" i="1"/>
  <c r="H53" i="1"/>
  <c r="I53" i="1"/>
  <c r="G54" i="1"/>
  <c r="I54" i="1" s="1"/>
  <c r="H54" i="1"/>
  <c r="G55" i="1"/>
  <c r="I55" i="1" s="1"/>
  <c r="H55" i="1"/>
  <c r="G56" i="1"/>
  <c r="I56" i="1" s="1"/>
  <c r="H56" i="1"/>
  <c r="G57" i="1"/>
  <c r="H57" i="1"/>
  <c r="I57" i="1"/>
  <c r="G58" i="1"/>
  <c r="H58" i="1"/>
  <c r="I58" i="1" s="1"/>
  <c r="G59" i="1"/>
  <c r="H59" i="1"/>
  <c r="I59" i="1"/>
  <c r="G60" i="1"/>
  <c r="I60" i="1" s="1"/>
  <c r="H60" i="1"/>
  <c r="G61" i="1"/>
  <c r="H61" i="1"/>
  <c r="I61" i="1"/>
  <c r="G62" i="1"/>
  <c r="I62" i="1" s="1"/>
  <c r="H62" i="1"/>
  <c r="I5" i="1"/>
  <c r="I6" i="1"/>
  <c r="I7" i="1"/>
  <c r="I8" i="1"/>
  <c r="I9" i="1"/>
  <c r="I10" i="1"/>
  <c r="I11" i="1"/>
  <c r="H5" i="1"/>
  <c r="H6" i="1"/>
  <c r="H7" i="1"/>
  <c r="H8" i="1"/>
  <c r="H9" i="1"/>
  <c r="H10" i="1"/>
  <c r="H11" i="1"/>
  <c r="H4" i="1"/>
  <c r="G5" i="1"/>
  <c r="G6" i="1"/>
  <c r="G7" i="1"/>
  <c r="G8" i="1"/>
  <c r="G9" i="1"/>
  <c r="G10" i="1"/>
  <c r="G11" i="1"/>
  <c r="G4" i="1"/>
  <c r="A8" i="1"/>
  <c r="B6" i="1"/>
  <c r="B5" i="1"/>
  <c r="H11" i="2" l="1"/>
  <c r="H13" i="2"/>
  <c r="H12" i="2"/>
  <c r="H14" i="2"/>
  <c r="F13" i="2"/>
  <c r="F11" i="2"/>
  <c r="I4" i="1"/>
</calcChain>
</file>

<file path=xl/sharedStrings.xml><?xml version="1.0" encoding="utf-8"?>
<sst xmlns="http://schemas.openxmlformats.org/spreadsheetml/2006/main" count="20" uniqueCount="10">
  <si>
    <t>loan amount</t>
  </si>
  <si>
    <t>Annual Interest</t>
  </si>
  <si>
    <t>Tennure</t>
  </si>
  <si>
    <t>Total months</t>
  </si>
  <si>
    <t>Month Interest</t>
  </si>
  <si>
    <t>Month Number</t>
  </si>
  <si>
    <t>Principal Amount</t>
  </si>
  <si>
    <t>Interest Amount</t>
  </si>
  <si>
    <t>EMI</t>
  </si>
  <si>
    <t>Remaining Balance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</si>
</sst>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8" formatCode="&quot;$&quot;#,##0.00_);[Red]\(&quot;$&quot;#,##0.00\)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9" fontId="0" fillId="0" borderId="0" xfId="0" applyNumberFormat="1"/>
    <xf numFmtId="8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K67"/>
  <sheetViews>
    <sheetView zoomScale="145" zoomScaleNormal="145" workbookViewId="0">
      <selection activeCell="F3" sqref="F3:K6"/>
    </sheetView>
  </sheetViews>
  <sheetFormatPr defaultRowHeight="15" x14ac:dyDescent="0.25"/>
  <cols>
    <col min="1" max="1" width="22.140625" customWidth="1"/>
    <col min="2" max="2" width="15.140625" customWidth="1"/>
    <col min="6" max="6" width="14.7109375" bestFit="1" customWidth="1"/>
    <col min="7" max="7" width="16.42578125" bestFit="1" customWidth="1"/>
    <col min="8" max="8" width="15.7109375" bestFit="1" customWidth="1"/>
    <col min="9" max="9" width="10.7109375" bestFit="1" customWidth="1"/>
    <col min="10" max="10" width="18" bestFit="1" customWidth="1"/>
    <col min="11" max="11" width="11.140625" bestFit="1" customWidth="1"/>
  </cols>
  <sheetData>
    <row r="2" spans="1:11" x14ac:dyDescent="0.25">
      <c r="A2" t="s">
        <v>0</v>
      </c>
      <c r="B2">
        <v>200000</v>
      </c>
    </row>
    <row r="3" spans="1:11" x14ac:dyDescent="0.25">
      <c r="A3" t="s">
        <v>1</v>
      </c>
      <c r="B3" s="1">
        <v>0.09</v>
      </c>
      <c r="F3" t="s">
        <v>5</v>
      </c>
      <c r="G3" t="s">
        <v>6</v>
      </c>
      <c r="H3" t="s">
        <v>7</v>
      </c>
      <c r="I3" t="s">
        <v>8</v>
      </c>
      <c r="J3" t="s">
        <v>9</v>
      </c>
    </row>
    <row r="4" spans="1:11" x14ac:dyDescent="0.25">
      <c r="A4" t="s">
        <v>2</v>
      </c>
      <c r="B4">
        <v>5</v>
      </c>
      <c r="F4">
        <v>1</v>
      </c>
      <c r="G4" s="2">
        <f>PPMT($B$6,F4,$B$5,$B$2)</f>
        <v>-2651.6710452708016</v>
      </c>
      <c r="H4" s="2">
        <f>IPMT($B$6,F4,$B$5,$B$2)</f>
        <v>-1500</v>
      </c>
      <c r="I4" s="2">
        <f>SUM(G4:H4)</f>
        <v>-4151.6710452708012</v>
      </c>
      <c r="J4" s="2">
        <f>$B$2+SUM($G$4:G4)</f>
        <v>197348.32895472919</v>
      </c>
      <c r="K4" s="3"/>
    </row>
    <row r="5" spans="1:11" x14ac:dyDescent="0.25">
      <c r="A5" t="s">
        <v>3</v>
      </c>
      <c r="B5">
        <f>12*B4</f>
        <v>60</v>
      </c>
      <c r="F5">
        <v>2</v>
      </c>
      <c r="G5" s="2">
        <f t="shared" ref="G5:G67" si="0">PPMT($B$6,F5,$B$5,$B$2)</f>
        <v>-2671.5585781103323</v>
      </c>
      <c r="H5" s="2">
        <f t="shared" ref="H5:H13" si="1">IPMT($B$6,F5,$B$5,$B$2)</f>
        <v>-1480.1124671604689</v>
      </c>
      <c r="I5" s="2">
        <f t="shared" ref="I5:I13" si="2">SUM(G5:H5)</f>
        <v>-4151.6710452708012</v>
      </c>
      <c r="J5" s="2">
        <f>$B$2+SUM($G$4:G5)</f>
        <v>194676.77037661886</v>
      </c>
      <c r="K5" s="3"/>
    </row>
    <row r="6" spans="1:11" x14ac:dyDescent="0.25">
      <c r="A6" t="s">
        <v>4</v>
      </c>
      <c r="B6">
        <f>B3/12</f>
        <v>7.4999999999999997E-3</v>
      </c>
      <c r="F6">
        <v>3</v>
      </c>
      <c r="G6" s="2">
        <f t="shared" si="0"/>
        <v>-2691.5952674461601</v>
      </c>
      <c r="H6" s="2">
        <f t="shared" si="1"/>
        <v>-1460.0757778246414</v>
      </c>
      <c r="I6" s="2">
        <f t="shared" si="2"/>
        <v>-4151.6710452708012</v>
      </c>
      <c r="J6" s="2">
        <f>$B$2+SUM($G$4:G6)</f>
        <v>191985.17510917271</v>
      </c>
      <c r="K6" s="3"/>
    </row>
    <row r="7" spans="1:11" x14ac:dyDescent="0.25">
      <c r="F7">
        <v>4</v>
      </c>
      <c r="G7" s="2">
        <f t="shared" si="0"/>
        <v>-2711.7822319520064</v>
      </c>
      <c r="H7" s="2">
        <f t="shared" si="1"/>
        <v>-1439.8888133187952</v>
      </c>
      <c r="I7" s="2">
        <f t="shared" si="2"/>
        <v>-4151.6710452708012</v>
      </c>
      <c r="J7" s="2">
        <f>$B$2+SUM($G$4:G7)</f>
        <v>189273.3928772207</v>
      </c>
      <c r="K7" s="3"/>
    </row>
    <row r="8" spans="1:11" x14ac:dyDescent="0.25">
      <c r="A8" s="2">
        <f>PMT(B6,B5,B2)</f>
        <v>-4151.6710452708021</v>
      </c>
      <c r="F8">
        <v>5</v>
      </c>
      <c r="G8" s="2">
        <f t="shared" si="0"/>
        <v>-2732.1205986916461</v>
      </c>
      <c r="H8" s="2">
        <f t="shared" si="1"/>
        <v>-1419.5504465791553</v>
      </c>
      <c r="I8" s="2">
        <f t="shared" si="2"/>
        <v>-4151.6710452708012</v>
      </c>
      <c r="J8" s="2">
        <f>$B$2+SUM($G$4:G8)</f>
        <v>186541.27227852907</v>
      </c>
      <c r="K8" s="3"/>
    </row>
    <row r="9" spans="1:11" x14ac:dyDescent="0.25">
      <c r="F9">
        <v>6</v>
      </c>
      <c r="G9" s="2">
        <f t="shared" si="0"/>
        <v>-2752.611503181834</v>
      </c>
      <c r="H9" s="2">
        <f t="shared" si="1"/>
        <v>-1399.0595420889679</v>
      </c>
      <c r="I9" s="2">
        <f t="shared" si="2"/>
        <v>-4151.6710452708021</v>
      </c>
      <c r="J9" s="2">
        <f>$B$2+SUM($G$4:G9)</f>
        <v>183788.66077534721</v>
      </c>
      <c r="K9" s="3"/>
    </row>
    <row r="10" spans="1:11" x14ac:dyDescent="0.25">
      <c r="F10">
        <v>7</v>
      </c>
      <c r="G10" s="2">
        <f t="shared" si="0"/>
        <v>-2773.2560894556973</v>
      </c>
      <c r="H10" s="2">
        <f t="shared" si="1"/>
        <v>-1378.4149558151041</v>
      </c>
      <c r="I10" s="2">
        <f t="shared" si="2"/>
        <v>-4151.6710452708012</v>
      </c>
      <c r="J10" s="2">
        <f>$B$2+SUM($G$4:G10)</f>
        <v>181015.40468589152</v>
      </c>
      <c r="K10" s="3"/>
    </row>
    <row r="11" spans="1:11" x14ac:dyDescent="0.25">
      <c r="F11">
        <v>8</v>
      </c>
      <c r="G11" s="2">
        <f t="shared" si="0"/>
        <v>-2794.055510126615</v>
      </c>
      <c r="H11" s="2">
        <f t="shared" si="1"/>
        <v>-1357.6155351441864</v>
      </c>
      <c r="I11" s="2">
        <f t="shared" si="2"/>
        <v>-4151.6710452708012</v>
      </c>
      <c r="J11" s="2">
        <f>$B$2+SUM($G$4:G11)</f>
        <v>178221.34917576492</v>
      </c>
      <c r="K11" s="3"/>
    </row>
    <row r="12" spans="1:11" x14ac:dyDescent="0.25">
      <c r="F12">
        <v>9</v>
      </c>
      <c r="G12" s="2">
        <f t="shared" si="0"/>
        <v>-2815.0109264525649</v>
      </c>
      <c r="H12" s="2">
        <f t="shared" ref="H12:H63" si="3">IPMT($B$6,F12,$B$5,$B$2)</f>
        <v>-1336.6601188182369</v>
      </c>
      <c r="I12" s="2">
        <f t="shared" ref="I12:I63" si="4">SUM(G12:H12)</f>
        <v>-4151.6710452708021</v>
      </c>
      <c r="J12" s="2">
        <f>$B$2+SUM($G$4:G12)</f>
        <v>175406.33824931234</v>
      </c>
      <c r="K12" s="3"/>
    </row>
    <row r="13" spans="1:11" x14ac:dyDescent="0.25">
      <c r="F13">
        <v>10</v>
      </c>
      <c r="G13" s="2">
        <f t="shared" si="0"/>
        <v>-2836.1235084009591</v>
      </c>
      <c r="H13" s="2">
        <f t="shared" si="3"/>
        <v>-1315.5475368698426</v>
      </c>
      <c r="I13" s="2">
        <f t="shared" si="4"/>
        <v>-4151.6710452708012</v>
      </c>
      <c r="J13" s="2">
        <f>$B$2+SUM($G$4:G13)</f>
        <v>172570.21474091138</v>
      </c>
      <c r="K13" s="3"/>
    </row>
    <row r="14" spans="1:11" x14ac:dyDescent="0.25">
      <c r="F14">
        <v>11</v>
      </c>
      <c r="G14" s="2">
        <f t="shared" si="0"/>
        <v>-2857.3944347139663</v>
      </c>
      <c r="H14" s="2">
        <f t="shared" si="3"/>
        <v>-1294.2766105568353</v>
      </c>
      <c r="I14" s="2">
        <f t="shared" si="4"/>
        <v>-4151.6710452708012</v>
      </c>
      <c r="J14" s="2">
        <f>$B$2+SUM($G$4:G14)</f>
        <v>169712.82030619742</v>
      </c>
      <c r="K14" s="3"/>
    </row>
    <row r="15" spans="1:11" x14ac:dyDescent="0.25">
      <c r="F15">
        <v>12</v>
      </c>
      <c r="G15" s="2">
        <f t="shared" si="0"/>
        <v>-2878.8248929743213</v>
      </c>
      <c r="H15" s="2">
        <f t="shared" si="3"/>
        <v>-1272.8461522964808</v>
      </c>
      <c r="I15" s="2">
        <f t="shared" si="4"/>
        <v>-4151.6710452708021</v>
      </c>
      <c r="J15" s="2">
        <f>$B$2+SUM($G$4:G15)</f>
        <v>166833.99541322311</v>
      </c>
      <c r="K15" s="3"/>
    </row>
    <row r="16" spans="1:11" x14ac:dyDescent="0.25">
      <c r="F16">
        <v>13</v>
      </c>
      <c r="G16" s="2">
        <f t="shared" si="0"/>
        <v>-2900.4160796716287</v>
      </c>
      <c r="H16" s="2">
        <f t="shared" si="3"/>
        <v>-1251.2549655991731</v>
      </c>
      <c r="I16" s="2">
        <f t="shared" si="4"/>
        <v>-4151.6710452708021</v>
      </c>
      <c r="J16" s="2">
        <f>$B$2+SUM($G$4:G16)</f>
        <v>163933.57933355146</v>
      </c>
      <c r="K16" s="3"/>
    </row>
    <row r="17" spans="6:11" x14ac:dyDescent="0.25">
      <c r="F17">
        <v>14</v>
      </c>
      <c r="G17" s="2">
        <f t="shared" si="0"/>
        <v>-2922.1692002691661</v>
      </c>
      <c r="H17" s="2">
        <f t="shared" si="3"/>
        <v>-1229.5018450016362</v>
      </c>
      <c r="I17" s="2">
        <f t="shared" si="4"/>
        <v>-4151.6710452708021</v>
      </c>
      <c r="J17" s="2">
        <f>$B$2+SUM($G$4:G17)</f>
        <v>161011.4101332823</v>
      </c>
      <c r="K17" s="3"/>
    </row>
    <row r="18" spans="6:11" x14ac:dyDescent="0.25">
      <c r="F18">
        <v>15</v>
      </c>
      <c r="G18" s="2">
        <f t="shared" si="0"/>
        <v>-2944.0854692711846</v>
      </c>
      <c r="H18" s="2">
        <f t="shared" si="3"/>
        <v>-1207.5855759996173</v>
      </c>
      <c r="I18" s="2">
        <f t="shared" si="4"/>
        <v>-4151.6710452708021</v>
      </c>
      <c r="J18" s="2">
        <f>$B$2+SUM($G$4:G18)</f>
        <v>158067.32466401113</v>
      </c>
      <c r="K18" s="3"/>
    </row>
    <row r="19" spans="6:11" x14ac:dyDescent="0.25">
      <c r="F19">
        <v>16</v>
      </c>
      <c r="G19" s="2">
        <f t="shared" si="0"/>
        <v>-2966.1661102907183</v>
      </c>
      <c r="H19" s="2">
        <f t="shared" si="3"/>
        <v>-1185.5049349800834</v>
      </c>
      <c r="I19" s="2">
        <f t="shared" si="4"/>
        <v>-4151.6710452708012</v>
      </c>
      <c r="J19" s="2">
        <f>$B$2+SUM($G$4:G19)</f>
        <v>155101.15855372039</v>
      </c>
      <c r="K19" s="3"/>
    </row>
    <row r="20" spans="6:11" x14ac:dyDescent="0.25">
      <c r="F20">
        <v>17</v>
      </c>
      <c r="G20" s="2">
        <f t="shared" si="0"/>
        <v>-2988.412356117899</v>
      </c>
      <c r="H20" s="2">
        <f t="shared" si="3"/>
        <v>-1163.2586891529029</v>
      </c>
      <c r="I20" s="2">
        <f t="shared" si="4"/>
        <v>-4151.6710452708021</v>
      </c>
      <c r="J20" s="2">
        <f>$B$2+SUM($G$4:G20)</f>
        <v>152112.74619760251</v>
      </c>
    </row>
    <row r="21" spans="6:11" x14ac:dyDescent="0.25">
      <c r="F21">
        <v>18</v>
      </c>
      <c r="G21" s="2">
        <f t="shared" si="0"/>
        <v>-3010.825448788783</v>
      </c>
      <c r="H21" s="2">
        <f t="shared" si="3"/>
        <v>-1140.8455964820187</v>
      </c>
      <c r="I21" s="2">
        <f t="shared" si="4"/>
        <v>-4151.6710452708012</v>
      </c>
      <c r="J21" s="2">
        <f>$B$2+SUM($G$4:G21)</f>
        <v>149101.92074881372</v>
      </c>
    </row>
    <row r="22" spans="6:11" x14ac:dyDescent="0.25">
      <c r="F22">
        <v>19</v>
      </c>
      <c r="G22" s="2">
        <f t="shared" si="0"/>
        <v>-3033.4066396546991</v>
      </c>
      <c r="H22" s="2">
        <f t="shared" si="3"/>
        <v>-1118.2644056161027</v>
      </c>
      <c r="I22" s="2">
        <f t="shared" si="4"/>
        <v>-4151.6710452708021</v>
      </c>
      <c r="J22" s="2">
        <f>$B$2+SUM($G$4:G22)</f>
        <v>146068.514109159</v>
      </c>
    </row>
    <row r="23" spans="6:11" x14ac:dyDescent="0.25">
      <c r="F23">
        <v>20</v>
      </c>
      <c r="G23" s="2">
        <f t="shared" si="0"/>
        <v>-3056.1571894521094</v>
      </c>
      <c r="H23" s="2">
        <f t="shared" si="3"/>
        <v>-1095.5138558186927</v>
      </c>
      <c r="I23" s="2">
        <f t="shared" si="4"/>
        <v>-4151.6710452708021</v>
      </c>
      <c r="J23" s="2">
        <f>$B$2+SUM($G$4:G23)</f>
        <v>143012.35691970692</v>
      </c>
    </row>
    <row r="24" spans="6:11" x14ac:dyDescent="0.25">
      <c r="F24">
        <v>21</v>
      </c>
      <c r="G24" s="2">
        <f t="shared" si="0"/>
        <v>-3079.0783683730001</v>
      </c>
      <c r="H24" s="2">
        <f t="shared" si="3"/>
        <v>-1072.5926768978018</v>
      </c>
      <c r="I24" s="2">
        <f t="shared" si="4"/>
        <v>-4151.6710452708021</v>
      </c>
      <c r="J24" s="2">
        <f>$B$2+SUM($G$4:G24)</f>
        <v>139933.2785513339</v>
      </c>
    </row>
    <row r="25" spans="6:11" x14ac:dyDescent="0.25">
      <c r="F25">
        <v>22</v>
      </c>
      <c r="G25" s="2">
        <f t="shared" si="0"/>
        <v>-3102.1714561357976</v>
      </c>
      <c r="H25" s="2">
        <f t="shared" si="3"/>
        <v>-1049.4995891350045</v>
      </c>
      <c r="I25" s="2">
        <f t="shared" si="4"/>
        <v>-4151.6710452708021</v>
      </c>
      <c r="J25" s="2">
        <f>$B$2+SUM($G$4:G25)</f>
        <v>136831.10709519812</v>
      </c>
    </row>
    <row r="26" spans="6:11" x14ac:dyDescent="0.25">
      <c r="F26">
        <v>23</v>
      </c>
      <c r="G26" s="2">
        <f t="shared" si="0"/>
        <v>-3125.4377420568162</v>
      </c>
      <c r="H26" s="2">
        <f t="shared" si="3"/>
        <v>-1026.2333032139859</v>
      </c>
      <c r="I26" s="2">
        <f t="shared" si="4"/>
        <v>-4151.6710452708021</v>
      </c>
      <c r="J26" s="2">
        <f>$B$2+SUM($G$4:G26)</f>
        <v>133705.6693531413</v>
      </c>
    </row>
    <row r="27" spans="6:11" x14ac:dyDescent="0.25">
      <c r="F27">
        <v>24</v>
      </c>
      <c r="G27" s="2">
        <f t="shared" si="0"/>
        <v>-3148.8785251222425</v>
      </c>
      <c r="H27" s="2">
        <f t="shared" si="3"/>
        <v>-1002.7925201485598</v>
      </c>
      <c r="I27" s="2">
        <f t="shared" si="4"/>
        <v>-4151.6710452708021</v>
      </c>
      <c r="J27" s="2">
        <f>$B$2+SUM($G$4:G27)</f>
        <v>130556.79082801906</v>
      </c>
    </row>
    <row r="28" spans="6:11" x14ac:dyDescent="0.25">
      <c r="F28">
        <v>25</v>
      </c>
      <c r="G28" s="2">
        <f t="shared" si="0"/>
        <v>-3172.495114060659</v>
      </c>
      <c r="H28" s="2">
        <f t="shared" si="3"/>
        <v>-979.17593121014283</v>
      </c>
      <c r="I28" s="2">
        <f t="shared" si="4"/>
        <v>-4151.6710452708021</v>
      </c>
      <c r="J28" s="2">
        <f>$B$2+SUM($G$4:G28)</f>
        <v>127384.2957139584</v>
      </c>
    </row>
    <row r="29" spans="6:11" x14ac:dyDescent="0.25">
      <c r="F29">
        <v>26</v>
      </c>
      <c r="G29" s="2">
        <f t="shared" si="0"/>
        <v>-3196.2888274161137</v>
      </c>
      <c r="H29" s="2">
        <f t="shared" si="3"/>
        <v>-955.38221785468784</v>
      </c>
      <c r="I29" s="2">
        <f t="shared" si="4"/>
        <v>-4151.6710452708012</v>
      </c>
      <c r="J29" s="2">
        <f>$B$2+SUM($G$4:G29)</f>
        <v>124188.00688654229</v>
      </c>
    </row>
    <row r="30" spans="6:11" x14ac:dyDescent="0.25">
      <c r="F30">
        <v>27</v>
      </c>
      <c r="G30" s="2">
        <f t="shared" si="0"/>
        <v>-3220.2609936217345</v>
      </c>
      <c r="H30" s="2">
        <f t="shared" si="3"/>
        <v>-931.41005164906699</v>
      </c>
      <c r="I30" s="2">
        <f t="shared" si="4"/>
        <v>-4151.6710452708012</v>
      </c>
      <c r="J30" s="2">
        <f>$B$2+SUM($G$4:G30)</f>
        <v>120967.74589292056</v>
      </c>
    </row>
    <row r="31" spans="6:11" x14ac:dyDescent="0.25">
      <c r="F31">
        <v>28</v>
      </c>
      <c r="G31" s="2">
        <f t="shared" si="0"/>
        <v>-3244.4129510738981</v>
      </c>
      <c r="H31" s="2">
        <f t="shared" si="3"/>
        <v>-907.25809419690404</v>
      </c>
      <c r="I31" s="2">
        <f t="shared" si="4"/>
        <v>-4151.6710452708021</v>
      </c>
      <c r="J31" s="2">
        <f>$B$2+SUM($G$4:G31)</f>
        <v>117723.33294184666</v>
      </c>
    </row>
    <row r="32" spans="6:11" x14ac:dyDescent="0.25">
      <c r="F32">
        <v>29</v>
      </c>
      <c r="G32" s="2">
        <f t="shared" si="0"/>
        <v>-3268.7460482069523</v>
      </c>
      <c r="H32" s="2">
        <f t="shared" si="3"/>
        <v>-882.9249970638499</v>
      </c>
      <c r="I32" s="2">
        <f t="shared" si="4"/>
        <v>-4151.6710452708021</v>
      </c>
      <c r="J32" s="2">
        <f>$B$2+SUM($G$4:G32)</f>
        <v>114454.5868936397</v>
      </c>
    </row>
    <row r="33" spans="6:10" x14ac:dyDescent="0.25">
      <c r="F33">
        <v>30</v>
      </c>
      <c r="G33" s="2">
        <f t="shared" si="0"/>
        <v>-3293.261643568504</v>
      </c>
      <c r="H33" s="2">
        <f t="shared" si="3"/>
        <v>-858.40940170229771</v>
      </c>
      <c r="I33" s="2">
        <f t="shared" si="4"/>
        <v>-4151.6710452708021</v>
      </c>
      <c r="J33" s="2">
        <f>$B$2+SUM($G$4:G33)</f>
        <v>111161.3252500712</v>
      </c>
    </row>
    <row r="34" spans="6:10" x14ac:dyDescent="0.25">
      <c r="F34">
        <v>31</v>
      </c>
      <c r="G34" s="2">
        <f t="shared" si="0"/>
        <v>-3317.9611058952678</v>
      </c>
      <c r="H34" s="2">
        <f t="shared" si="3"/>
        <v>-833.70993937553396</v>
      </c>
      <c r="I34" s="2">
        <f t="shared" si="4"/>
        <v>-4151.6710452708021</v>
      </c>
      <c r="J34" s="2">
        <f>$B$2+SUM($G$4:G34)</f>
        <v>107843.36414417592</v>
      </c>
    </row>
    <row r="35" spans="6:10" x14ac:dyDescent="0.25">
      <c r="F35">
        <v>32</v>
      </c>
      <c r="G35" s="2">
        <f t="shared" si="0"/>
        <v>-3342.8458141894826</v>
      </c>
      <c r="H35" s="2">
        <f t="shared" si="3"/>
        <v>-808.82523108131932</v>
      </c>
      <c r="I35" s="2">
        <f t="shared" si="4"/>
        <v>-4151.6710452708021</v>
      </c>
      <c r="J35" s="2">
        <f>$B$2+SUM($G$4:G35)</f>
        <v>104500.51832998644</v>
      </c>
    </row>
    <row r="36" spans="6:10" x14ac:dyDescent="0.25">
      <c r="F36">
        <v>33</v>
      </c>
      <c r="G36" s="2">
        <f t="shared" si="0"/>
        <v>-3367.9171577959037</v>
      </c>
      <c r="H36" s="2">
        <f t="shared" si="3"/>
        <v>-783.75388747489831</v>
      </c>
      <c r="I36" s="2">
        <f t="shared" si="4"/>
        <v>-4151.6710452708021</v>
      </c>
      <c r="J36" s="2">
        <f>$B$2+SUM($G$4:G36)</f>
        <v>101132.60117219054</v>
      </c>
    </row>
    <row r="37" spans="6:10" x14ac:dyDescent="0.25">
      <c r="F37">
        <v>34</v>
      </c>
      <c r="G37" s="2">
        <f t="shared" si="0"/>
        <v>-3393.1765364793732</v>
      </c>
      <c r="H37" s="2">
        <f t="shared" si="3"/>
        <v>-758.49450879142887</v>
      </c>
      <c r="I37" s="2">
        <f t="shared" si="4"/>
        <v>-4151.6710452708021</v>
      </c>
      <c r="J37" s="2">
        <f>$B$2+SUM($G$4:G37)</f>
        <v>97739.42463571117</v>
      </c>
    </row>
    <row r="38" spans="6:10" x14ac:dyDescent="0.25">
      <c r="F38">
        <v>35</v>
      </c>
      <c r="G38" s="2">
        <f t="shared" si="0"/>
        <v>-3418.6253605029683</v>
      </c>
      <c r="H38" s="2">
        <f t="shared" si="3"/>
        <v>-733.04568476783379</v>
      </c>
      <c r="I38" s="2">
        <f t="shared" si="4"/>
        <v>-4151.6710452708021</v>
      </c>
      <c r="J38" s="2">
        <f>$B$2+SUM($G$4:G38)</f>
        <v>94320.799275208206</v>
      </c>
    </row>
    <row r="39" spans="6:10" x14ac:dyDescent="0.25">
      <c r="F39">
        <v>36</v>
      </c>
      <c r="G39" s="2">
        <f t="shared" si="0"/>
        <v>-3444.2650507067401</v>
      </c>
      <c r="H39" s="2">
        <f t="shared" si="3"/>
        <v>-707.40599456406142</v>
      </c>
      <c r="I39" s="2">
        <f t="shared" si="4"/>
        <v>-4151.6710452708012</v>
      </c>
      <c r="J39" s="2">
        <f>$B$2+SUM($G$4:G39)</f>
        <v>90876.534224501462</v>
      </c>
    </row>
    <row r="40" spans="6:10" x14ac:dyDescent="0.25">
      <c r="F40">
        <v>37</v>
      </c>
      <c r="G40" s="2">
        <f t="shared" si="0"/>
        <v>-3470.097038587041</v>
      </c>
      <c r="H40" s="2">
        <f t="shared" si="3"/>
        <v>-681.57400668376079</v>
      </c>
      <c r="I40" s="2">
        <f t="shared" si="4"/>
        <v>-4151.6710452708021</v>
      </c>
      <c r="J40" s="2">
        <f>$B$2+SUM($G$4:G40)</f>
        <v>87406.437185914416</v>
      </c>
    </row>
    <row r="41" spans="6:10" x14ac:dyDescent="0.25">
      <c r="F41">
        <v>38</v>
      </c>
      <c r="G41" s="2">
        <f t="shared" si="0"/>
        <v>-3496.1227663764435</v>
      </c>
      <c r="H41" s="2">
        <f t="shared" si="3"/>
        <v>-655.54827889435808</v>
      </c>
      <c r="I41" s="2">
        <f t="shared" si="4"/>
        <v>-4151.6710452708012</v>
      </c>
      <c r="J41" s="2">
        <f>$B$2+SUM($G$4:G41)</f>
        <v>83910.314419537972</v>
      </c>
    </row>
    <row r="42" spans="6:10" x14ac:dyDescent="0.25">
      <c r="F42">
        <v>39</v>
      </c>
      <c r="G42" s="2">
        <f t="shared" si="0"/>
        <v>-3522.3436871242666</v>
      </c>
      <c r="H42" s="2">
        <f t="shared" si="3"/>
        <v>-629.32735814653461</v>
      </c>
      <c r="I42" s="2">
        <f t="shared" si="4"/>
        <v>-4151.6710452708012</v>
      </c>
      <c r="J42" s="2">
        <f>$B$2+SUM($G$4:G42)</f>
        <v>80387.970732413698</v>
      </c>
    </row>
    <row r="43" spans="6:10" x14ac:dyDescent="0.25">
      <c r="F43">
        <v>40</v>
      </c>
      <c r="G43" s="2">
        <f t="shared" si="0"/>
        <v>-3548.7612647776991</v>
      </c>
      <c r="H43" s="2">
        <f t="shared" si="3"/>
        <v>-602.90978049310274</v>
      </c>
      <c r="I43" s="2">
        <f t="shared" si="4"/>
        <v>-4151.6710452708021</v>
      </c>
      <c r="J43" s="2">
        <f>$B$2+SUM($G$4:G43)</f>
        <v>76839.209467635999</v>
      </c>
    </row>
    <row r="44" spans="6:10" x14ac:dyDescent="0.25">
      <c r="F44">
        <v>41</v>
      </c>
      <c r="G44" s="2">
        <f t="shared" si="0"/>
        <v>-3575.3769742635318</v>
      </c>
      <c r="H44" s="2">
        <f t="shared" si="3"/>
        <v>-576.29407100726985</v>
      </c>
      <c r="I44" s="2">
        <f t="shared" si="4"/>
        <v>-4151.6710452708012</v>
      </c>
      <c r="J44" s="2">
        <f>$B$2+SUM($G$4:G44)</f>
        <v>73263.832493372465</v>
      </c>
    </row>
    <row r="45" spans="6:10" x14ac:dyDescent="0.25">
      <c r="F45">
        <v>42</v>
      </c>
      <c r="G45" s="2">
        <f t="shared" si="0"/>
        <v>-3602.1923015705088</v>
      </c>
      <c r="H45" s="2">
        <f t="shared" si="3"/>
        <v>-549.47874370029342</v>
      </c>
      <c r="I45" s="2">
        <f t="shared" si="4"/>
        <v>-4151.6710452708021</v>
      </c>
      <c r="J45" s="2">
        <f>$B$2+SUM($G$4:G45)</f>
        <v>69661.640191801955</v>
      </c>
    </row>
    <row r="46" spans="6:10" x14ac:dyDescent="0.25">
      <c r="F46">
        <v>43</v>
      </c>
      <c r="G46" s="2">
        <f t="shared" si="0"/>
        <v>-3629.2087438322874</v>
      </c>
      <c r="H46" s="2">
        <f t="shared" si="3"/>
        <v>-522.4623014385146</v>
      </c>
      <c r="I46" s="2">
        <f t="shared" si="4"/>
        <v>-4151.6710452708021</v>
      </c>
      <c r="J46" s="2">
        <f>$B$2+SUM($G$4:G46)</f>
        <v>66032.431447969662</v>
      </c>
    </row>
    <row r="47" spans="6:10" x14ac:dyDescent="0.25">
      <c r="F47">
        <v>44</v>
      </c>
      <c r="G47" s="2">
        <f t="shared" si="0"/>
        <v>-3656.4278094110296</v>
      </c>
      <c r="H47" s="2">
        <f t="shared" si="3"/>
        <v>-495.24323585977243</v>
      </c>
      <c r="I47" s="2">
        <f t="shared" si="4"/>
        <v>-4151.6710452708021</v>
      </c>
      <c r="J47" s="2">
        <f>$B$2+SUM($G$4:G47)</f>
        <v>62376.003638558643</v>
      </c>
    </row>
    <row r="48" spans="6:10" x14ac:dyDescent="0.25">
      <c r="F48">
        <v>45</v>
      </c>
      <c r="G48" s="2">
        <f t="shared" si="0"/>
        <v>-3683.8510179816117</v>
      </c>
      <c r="H48" s="2">
        <f t="shared" si="3"/>
        <v>-467.8200272891898</v>
      </c>
      <c r="I48" s="2">
        <f t="shared" si="4"/>
        <v>-4151.6710452708012</v>
      </c>
      <c r="J48" s="2">
        <f>$B$2+SUM($G$4:G48)</f>
        <v>58692.152620577021</v>
      </c>
    </row>
    <row r="49" spans="6:10" x14ac:dyDescent="0.25">
      <c r="F49">
        <v>46</v>
      </c>
      <c r="G49" s="2">
        <f t="shared" si="0"/>
        <v>-3711.479900616474</v>
      </c>
      <c r="H49" s="2">
        <f t="shared" si="3"/>
        <v>-440.19114465432773</v>
      </c>
      <c r="I49" s="2">
        <f t="shared" si="4"/>
        <v>-4151.6710452708021</v>
      </c>
      <c r="J49" s="2">
        <f>$B$2+SUM($G$4:G49)</f>
        <v>54980.672719960538</v>
      </c>
    </row>
    <row r="50" spans="6:10" x14ac:dyDescent="0.25">
      <c r="F50">
        <v>47</v>
      </c>
      <c r="G50" s="2">
        <f t="shared" si="0"/>
        <v>-3739.3159998710976</v>
      </c>
      <c r="H50" s="2">
        <f t="shared" si="3"/>
        <v>-412.35504539970412</v>
      </c>
      <c r="I50" s="2">
        <f t="shared" si="4"/>
        <v>-4151.6710452708021</v>
      </c>
      <c r="J50" s="2">
        <f>$B$2+SUM($G$4:G50)</f>
        <v>51241.356720089447</v>
      </c>
    </row>
    <row r="51" spans="6:10" x14ac:dyDescent="0.25">
      <c r="F51">
        <v>48</v>
      </c>
      <c r="G51" s="2">
        <f t="shared" si="0"/>
        <v>-3767.360869870131</v>
      </c>
      <c r="H51" s="2">
        <f t="shared" si="3"/>
        <v>-384.31017540067103</v>
      </c>
      <c r="I51" s="2">
        <f t="shared" si="4"/>
        <v>-4151.6710452708021</v>
      </c>
      <c r="J51" s="2">
        <f>$B$2+SUM($G$4:G51)</f>
        <v>47473.995850219304</v>
      </c>
    </row>
    <row r="52" spans="6:10" x14ac:dyDescent="0.25">
      <c r="F52">
        <v>49</v>
      </c>
      <c r="G52" s="2">
        <f t="shared" si="0"/>
        <v>-3795.6160763941571</v>
      </c>
      <c r="H52" s="2">
        <f t="shared" si="3"/>
        <v>-356.05496887664492</v>
      </c>
      <c r="I52" s="2">
        <f t="shared" si="4"/>
        <v>-4151.6710452708021</v>
      </c>
      <c r="J52" s="2">
        <f>$B$2+SUM($G$4:G52)</f>
        <v>43678.379773825145</v>
      </c>
    </row>
    <row r="53" spans="6:10" x14ac:dyDescent="0.25">
      <c r="F53">
        <v>50</v>
      </c>
      <c r="G53" s="2">
        <f t="shared" si="0"/>
        <v>-3824.0831969671131</v>
      </c>
      <c r="H53" s="2">
        <f t="shared" si="3"/>
        <v>-327.58784830368876</v>
      </c>
      <c r="I53" s="2">
        <f t="shared" si="4"/>
        <v>-4151.6710452708021</v>
      </c>
      <c r="J53" s="2">
        <f>$B$2+SUM($G$4:G53)</f>
        <v>39854.296576858032</v>
      </c>
    </row>
    <row r="54" spans="6:10" x14ac:dyDescent="0.25">
      <c r="F54">
        <v>51</v>
      </c>
      <c r="G54" s="2">
        <f t="shared" si="0"/>
        <v>-3852.7638209443667</v>
      </c>
      <c r="H54" s="2">
        <f t="shared" si="3"/>
        <v>-298.90722432643537</v>
      </c>
      <c r="I54" s="2">
        <f t="shared" si="4"/>
        <v>-4151.6710452708021</v>
      </c>
      <c r="J54" s="2">
        <f>$B$2+SUM($G$4:G54)</f>
        <v>36001.532755913679</v>
      </c>
    </row>
    <row r="55" spans="6:10" x14ac:dyDescent="0.25">
      <c r="F55">
        <v>52</v>
      </c>
      <c r="G55" s="2">
        <f t="shared" si="0"/>
        <v>-3881.6595496014493</v>
      </c>
      <c r="H55" s="2">
        <f t="shared" si="3"/>
        <v>-270.01149566935266</v>
      </c>
      <c r="I55" s="2">
        <f t="shared" si="4"/>
        <v>-4151.6710452708021</v>
      </c>
      <c r="J55" s="2">
        <f>$B$2+SUM($G$4:G55)</f>
        <v>32119.873206312215</v>
      </c>
    </row>
    <row r="56" spans="6:10" x14ac:dyDescent="0.25">
      <c r="F56">
        <v>53</v>
      </c>
      <c r="G56" s="2">
        <f t="shared" si="0"/>
        <v>-3910.7719962234601</v>
      </c>
      <c r="H56" s="2">
        <f t="shared" si="3"/>
        <v>-240.89904904734178</v>
      </c>
      <c r="I56" s="2">
        <f t="shared" si="4"/>
        <v>-4151.6710452708021</v>
      </c>
      <c r="J56" s="2">
        <f>$B$2+SUM($G$4:G56)</f>
        <v>28209.10121008876</v>
      </c>
    </row>
    <row r="57" spans="6:10" x14ac:dyDescent="0.25">
      <c r="F57">
        <v>54</v>
      </c>
      <c r="G57" s="2">
        <f t="shared" si="0"/>
        <v>-3940.1027861951356</v>
      </c>
      <c r="H57" s="2">
        <f t="shared" si="3"/>
        <v>-211.56825907566582</v>
      </c>
      <c r="I57" s="2">
        <f t="shared" si="4"/>
        <v>-4151.6710452708012</v>
      </c>
      <c r="J57" s="2">
        <f>$B$2+SUM($G$4:G57)</f>
        <v>24268.998423893616</v>
      </c>
    </row>
    <row r="58" spans="6:10" x14ac:dyDescent="0.25">
      <c r="F58">
        <v>55</v>
      </c>
      <c r="G58" s="2">
        <f t="shared" si="0"/>
        <v>-3969.6535570915999</v>
      </c>
      <c r="H58" s="2">
        <f t="shared" si="3"/>
        <v>-182.0174881792023</v>
      </c>
      <c r="I58" s="2">
        <f t="shared" si="4"/>
        <v>-4151.6710452708021</v>
      </c>
      <c r="J58" s="2">
        <f>$B$2+SUM($G$4:G58)</f>
        <v>20299.344866802014</v>
      </c>
    </row>
    <row r="59" spans="6:10" x14ac:dyDescent="0.25">
      <c r="F59">
        <v>56</v>
      </c>
      <c r="G59" s="2">
        <f t="shared" si="0"/>
        <v>-3999.425958769787</v>
      </c>
      <c r="H59" s="2">
        <f t="shared" si="3"/>
        <v>-152.24508650101532</v>
      </c>
      <c r="I59" s="2">
        <f t="shared" si="4"/>
        <v>-4151.6710452708021</v>
      </c>
      <c r="J59" s="2">
        <f>$B$2+SUM($G$4:G59)</f>
        <v>16299.918908032239</v>
      </c>
    </row>
    <row r="60" spans="6:10" x14ac:dyDescent="0.25">
      <c r="F60">
        <v>57</v>
      </c>
      <c r="G60" s="2">
        <f t="shared" si="0"/>
        <v>-4029.4216534605603</v>
      </c>
      <c r="H60" s="2">
        <f t="shared" si="3"/>
        <v>-122.24939181024192</v>
      </c>
      <c r="I60" s="2">
        <f t="shared" si="4"/>
        <v>-4151.6710452708021</v>
      </c>
      <c r="J60" s="2">
        <f>$B$2+SUM($G$4:G60)</f>
        <v>12270.497254571674</v>
      </c>
    </row>
    <row r="61" spans="6:10" x14ac:dyDescent="0.25">
      <c r="F61">
        <v>58</v>
      </c>
      <c r="G61" s="2">
        <f t="shared" si="0"/>
        <v>-4059.6423158615144</v>
      </c>
      <c r="H61" s="2">
        <f t="shared" si="3"/>
        <v>-92.028729409287706</v>
      </c>
      <c r="I61" s="2">
        <f t="shared" si="4"/>
        <v>-4151.6710452708021</v>
      </c>
      <c r="J61" s="2">
        <f>$B$2+SUM($G$4:G61)</f>
        <v>8210.8549387101666</v>
      </c>
    </row>
    <row r="62" spans="6:10" x14ac:dyDescent="0.25">
      <c r="F62">
        <v>59</v>
      </c>
      <c r="G62" s="2">
        <f t="shared" si="0"/>
        <v>-4090.0896332304751</v>
      </c>
      <c r="H62" s="2">
        <f t="shared" si="3"/>
        <v>-61.581412040326356</v>
      </c>
      <c r="I62" s="2">
        <f t="shared" si="4"/>
        <v>-4151.6710452708012</v>
      </c>
      <c r="J62" s="2">
        <f>$B$2+SUM($G$4:G62)</f>
        <v>4120.7653054796974</v>
      </c>
    </row>
    <row r="63" spans="6:10" x14ac:dyDescent="0.25">
      <c r="F63">
        <v>60</v>
      </c>
      <c r="G63" s="2">
        <f t="shared" si="0"/>
        <v>-4120.7653054797047</v>
      </c>
      <c r="H63" s="2">
        <f t="shared" ref="H63:H67" si="5">IPMT($B$6,F63,$B$5,$B$2)</f>
        <v>-30.905739791097783</v>
      </c>
      <c r="I63" s="2">
        <f t="shared" si="4"/>
        <v>-4151.6710452708021</v>
      </c>
      <c r="J63" s="2">
        <f>$B$2+SUM($G$4:G63)</f>
        <v>0</v>
      </c>
    </row>
    <row r="64" spans="6:10" x14ac:dyDescent="0.25">
      <c r="G64" s="2"/>
      <c r="H64" s="2"/>
    </row>
    <row r="65" spans="7:8" x14ac:dyDescent="0.25">
      <c r="G65" s="2"/>
      <c r="H65" s="2"/>
    </row>
    <row r="66" spans="7:8" x14ac:dyDescent="0.25">
      <c r="G66" s="2"/>
      <c r="H66" s="2"/>
    </row>
    <row r="67" spans="7:8" x14ac:dyDescent="0.25">
      <c r="G67" s="2"/>
      <c r="H67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7"/>
  <sheetViews>
    <sheetView tabSelected="1" zoomScale="175" zoomScaleNormal="175" workbookViewId="0">
      <selection activeCell="E9" sqref="E9"/>
    </sheetView>
  </sheetViews>
  <sheetFormatPr defaultRowHeight="15" x14ac:dyDescent="0.25"/>
  <cols>
    <col min="1" max="1" width="14.5703125" customWidth="1"/>
    <col min="2" max="2" width="11.85546875" bestFit="1" customWidth="1"/>
    <col min="4" max="4" width="14.7109375" bestFit="1" customWidth="1"/>
    <col min="5" max="5" width="16.42578125" bestFit="1" customWidth="1"/>
    <col min="6" max="6" width="15.7109375" bestFit="1" customWidth="1"/>
    <col min="7" max="7" width="4.42578125" customWidth="1"/>
    <col min="8" max="8" width="12.28515625" bestFit="1" customWidth="1"/>
    <col min="9" max="9" width="11.140625" bestFit="1" customWidth="1"/>
  </cols>
  <sheetData>
    <row r="1" spans="1:9" x14ac:dyDescent="0.25">
      <c r="A1" t="s">
        <v>0</v>
      </c>
      <c r="B1">
        <v>200000</v>
      </c>
    </row>
    <row r="2" spans="1:9" x14ac:dyDescent="0.25">
      <c r="A2" t="s">
        <v>1</v>
      </c>
      <c r="B2" s="1">
        <v>0.15</v>
      </c>
      <c r="D2" t="s">
        <v>5</v>
      </c>
      <c r="E2" t="s">
        <v>6</v>
      </c>
      <c r="F2" t="s">
        <v>7</v>
      </c>
      <c r="G2" t="s">
        <v>8</v>
      </c>
    </row>
    <row r="3" spans="1:9" x14ac:dyDescent="0.25">
      <c r="A3" t="s">
        <v>2</v>
      </c>
      <c r="B3">
        <v>1</v>
      </c>
      <c r="D3">
        <f>ROW(A1)</f>
        <v>1</v>
      </c>
      <c r="E3" s="2">
        <f>PPMT($B$5,D3,$B$4,$B$1)</f>
        <v>-15551.662469031387</v>
      </c>
      <c r="F3" s="2">
        <f>IPMT($B$5,D3,$B$4,$B$1)</f>
        <v>-2500</v>
      </c>
      <c r="H3" s="2">
        <f>$B$1+SUM($E$3:E3)</f>
        <v>184448.33753096862</v>
      </c>
      <c r="I3" s="3">
        <v>46035</v>
      </c>
    </row>
    <row r="4" spans="1:9" x14ac:dyDescent="0.25">
      <c r="A4" t="s">
        <v>3</v>
      </c>
      <c r="B4">
        <f>B3*12</f>
        <v>12</v>
      </c>
      <c r="D4">
        <f t="shared" ref="D4:D11" si="0">ROW(A2)</f>
        <v>2</v>
      </c>
      <c r="E4" s="2">
        <f>PPMT($B$5,D4,$B$4,$B$1)</f>
        <v>-15746.05824989428</v>
      </c>
      <c r="F4" s="2">
        <f t="shared" ref="F4:F8" si="1">IPMT($B$5,D4,$B$4,$B$1)</f>
        <v>-2305.6042191371071</v>
      </c>
      <c r="H4" s="2">
        <f>$B$1+SUM($E$3:E4)</f>
        <v>168702.27928107433</v>
      </c>
      <c r="I4" s="3">
        <v>46066</v>
      </c>
    </row>
    <row r="5" spans="1:9" x14ac:dyDescent="0.25">
      <c r="A5" t="s">
        <v>4</v>
      </c>
      <c r="B5">
        <f>B2/12</f>
        <v>1.2499999999999999E-2</v>
      </c>
      <c r="D5">
        <f t="shared" si="0"/>
        <v>3</v>
      </c>
      <c r="E5" s="2">
        <f t="shared" ref="E5:E17" si="2">PPMT($B$5,D5,$B$4,$B$1)</f>
        <v>-15942.883978017957</v>
      </c>
      <c r="F5" s="2">
        <f t="shared" si="1"/>
        <v>-2108.7784910134287</v>
      </c>
      <c r="H5" s="2">
        <f>$B$1+SUM($E$3:E5)</f>
        <v>152759.39530305637</v>
      </c>
      <c r="I5" s="3">
        <v>46094</v>
      </c>
    </row>
    <row r="6" spans="1:9" x14ac:dyDescent="0.25">
      <c r="D6">
        <f t="shared" si="0"/>
        <v>4</v>
      </c>
      <c r="E6" s="2">
        <f t="shared" si="2"/>
        <v>-16142.170027743183</v>
      </c>
      <c r="F6" s="2">
        <f t="shared" si="1"/>
        <v>-1909.4924412882042</v>
      </c>
      <c r="H6" s="2">
        <f>$B$1+SUM($E$3:E6)</f>
        <v>136617.22527531319</v>
      </c>
      <c r="I6" s="3">
        <v>46125</v>
      </c>
    </row>
    <row r="7" spans="1:9" x14ac:dyDescent="0.25">
      <c r="A7" t="s">
        <v>8</v>
      </c>
      <c r="B7" s="2">
        <f>PMT(B5,B4,B1)</f>
        <v>-18051.662469031387</v>
      </c>
      <c r="D7">
        <f t="shared" si="0"/>
        <v>5</v>
      </c>
      <c r="E7" s="2">
        <f t="shared" si="2"/>
        <v>-16343.947153089974</v>
      </c>
      <c r="F7" s="2">
        <f t="shared" si="1"/>
        <v>-1707.7153159414147</v>
      </c>
      <c r="H7" s="2">
        <f>$B$1+SUM($E$3:E7)</f>
        <v>120273.27812222323</v>
      </c>
      <c r="I7" s="3">
        <v>46155</v>
      </c>
    </row>
    <row r="8" spans="1:9" x14ac:dyDescent="0.25">
      <c r="D8">
        <f t="shared" si="0"/>
        <v>6</v>
      </c>
      <c r="E8" s="2">
        <f t="shared" si="2"/>
        <v>-16548.246492503597</v>
      </c>
      <c r="F8" s="2">
        <f t="shared" si="1"/>
        <v>-1503.41597652779</v>
      </c>
      <c r="H8" s="2">
        <f>$B$1+SUM($E$3:E8)</f>
        <v>103725.03162971963</v>
      </c>
      <c r="I8" s="3">
        <v>46186</v>
      </c>
    </row>
    <row r="9" spans="1:9" x14ac:dyDescent="0.25">
      <c r="D9">
        <f t="shared" si="0"/>
        <v>7</v>
      </c>
      <c r="E9" s="2">
        <f t="shared" si="2"/>
        <v>-16755.099573659892</v>
      </c>
      <c r="F9" s="2">
        <f t="shared" ref="F9:F11" si="3">IPMT($B$5,D9,$B$4,$B$1)</f>
        <v>-1296.562895371495</v>
      </c>
      <c r="H9" s="2">
        <f>$B$1+SUM($E$3:E9)</f>
        <v>86969.932056059741</v>
      </c>
      <c r="I9" s="3">
        <v>46216</v>
      </c>
    </row>
    <row r="10" spans="1:9" x14ac:dyDescent="0.25">
      <c r="D10">
        <f t="shared" si="0"/>
        <v>8</v>
      </c>
      <c r="E10" s="2">
        <f t="shared" si="2"/>
        <v>-16964.53831833064</v>
      </c>
      <c r="F10" s="2">
        <f t="shared" si="3"/>
        <v>-1087.1241507007462</v>
      </c>
      <c r="H10" s="2">
        <f>$B$1+SUM($E$3:E10)</f>
        <v>70005.3937377291</v>
      </c>
      <c r="I10" s="3">
        <v>46247</v>
      </c>
    </row>
    <row r="11" spans="1:9" x14ac:dyDescent="0.25">
      <c r="D11">
        <f t="shared" ref="D11:D17" si="4">ROW(A9)</f>
        <v>9</v>
      </c>
      <c r="E11" s="2">
        <f t="shared" si="2"/>
        <v>-17176.595047309773</v>
      </c>
      <c r="F11" s="2">
        <f t="shared" ref="F11:F17" si="5">IPMT($B$5,D11,$B$4,$B$1)</f>
        <v>-875.06742172161353</v>
      </c>
      <c r="H11" s="2">
        <f>$B$1+SUM($E$3:E11)</f>
        <v>52828.798690419324</v>
      </c>
      <c r="I11" s="3">
        <v>46278</v>
      </c>
    </row>
    <row r="12" spans="1:9" x14ac:dyDescent="0.25">
      <c r="D12">
        <f t="shared" si="4"/>
        <v>10</v>
      </c>
      <c r="E12" s="2">
        <f t="shared" si="2"/>
        <v>-17391.302485401146</v>
      </c>
      <c r="F12" s="2">
        <f t="shared" si="5"/>
        <v>-660.35998363024146</v>
      </c>
      <c r="H12" s="2">
        <f>$B$1+SUM($E$3:E12)</f>
        <v>35437.496205018193</v>
      </c>
      <c r="I12" s="3">
        <v>46308</v>
      </c>
    </row>
    <row r="13" spans="1:9" x14ac:dyDescent="0.25">
      <c r="D13">
        <f t="shared" si="4"/>
        <v>11</v>
      </c>
      <c r="E13" s="2">
        <f t="shared" si="2"/>
        <v>-17608.693766468659</v>
      </c>
      <c r="F13" s="2">
        <f t="shared" si="5"/>
        <v>-442.96870256272712</v>
      </c>
      <c r="H13" s="2">
        <f>$B$1+SUM($E$3:E13)</f>
        <v>17828.802438549523</v>
      </c>
      <c r="I13" s="3">
        <v>46339</v>
      </c>
    </row>
    <row r="14" spans="1:9" x14ac:dyDescent="0.25">
      <c r="D14">
        <f t="shared" si="4"/>
        <v>12</v>
      </c>
      <c r="E14" s="2">
        <f t="shared" si="2"/>
        <v>-17828.802438549519</v>
      </c>
      <c r="F14" s="2">
        <f t="shared" si="5"/>
        <v>-222.86003048186893</v>
      </c>
      <c r="H14" s="2">
        <f>$B$1+SUM($E$3:E14)</f>
        <v>0</v>
      </c>
      <c r="I14" s="3">
        <v>46369</v>
      </c>
    </row>
    <row r="15" spans="1:9" x14ac:dyDescent="0.25">
      <c r="E15" s="2"/>
      <c r="F15" s="2"/>
      <c r="H15" s="2"/>
    </row>
    <row r="16" spans="1:9" x14ac:dyDescent="0.25">
      <c r="E16" s="2"/>
      <c r="F16" s="2"/>
      <c r="H16" s="2"/>
    </row>
    <row r="17" spans="5:8" x14ac:dyDescent="0.25">
      <c r="E17" s="2"/>
      <c r="F17" s="2"/>
      <c r="H17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Laptop</dc:creator>
  <cp:lastModifiedBy>Laptop</cp:lastModifiedBy>
  <dcterms:created xsi:type="dcterms:W3CDTF">2026-01-13T05:54:48Z</dcterms:created>
  <dcterms:modified xsi:type="dcterms:W3CDTF">2026-01-13T06:32:43Z</dcterms:modified>
</cp:coreProperties>
</file>