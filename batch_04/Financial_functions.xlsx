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4\"/>
    </mc:Choice>
  </mc:AlternateContent>
  <bookViews>
    <workbookView xWindow="0" yWindow="0" windowWidth="21600" windowHeight="9630" activeTab="1"/>
  </bookViews>
  <sheets>
    <sheet name="EMI CALCULATE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B8" i="2"/>
  <c r="B7" i="2"/>
  <c r="B8" i="1"/>
  <c r="F56" i="1" s="1"/>
  <c r="B7" i="1"/>
  <c r="F64" i="1" s="1"/>
  <c r="B12" i="2" l="1"/>
  <c r="G9" i="1"/>
  <c r="F13" i="1"/>
  <c r="F23" i="1"/>
  <c r="B12" i="1"/>
  <c r="F11" i="1"/>
  <c r="F62" i="1"/>
  <c r="F54" i="1"/>
  <c r="F46" i="1"/>
  <c r="H46" i="1" s="1"/>
  <c r="F38" i="1"/>
  <c r="F30" i="1"/>
  <c r="F22" i="1"/>
  <c r="G62" i="1"/>
  <c r="G54" i="1"/>
  <c r="G46" i="1"/>
  <c r="G38" i="1"/>
  <c r="G30" i="1"/>
  <c r="G22" i="1"/>
  <c r="G14" i="1"/>
  <c r="G6" i="1"/>
  <c r="F40" i="1"/>
  <c r="G56" i="1"/>
  <c r="G24" i="1"/>
  <c r="G16" i="1"/>
  <c r="F12" i="1"/>
  <c r="F39" i="1"/>
  <c r="G55" i="1"/>
  <c r="G31" i="1"/>
  <c r="F45" i="1"/>
  <c r="F37" i="1"/>
  <c r="F29" i="1"/>
  <c r="F21" i="1"/>
  <c r="G61" i="1"/>
  <c r="G53" i="1"/>
  <c r="G45" i="1"/>
  <c r="G37" i="1"/>
  <c r="G29" i="1"/>
  <c r="G21" i="1"/>
  <c r="G13" i="1"/>
  <c r="H13" i="1" s="1"/>
  <c r="H56" i="1"/>
  <c r="G64" i="1"/>
  <c r="H64" i="1" s="1"/>
  <c r="G32" i="1"/>
  <c r="F47" i="1"/>
  <c r="G47" i="1"/>
  <c r="G7" i="1"/>
  <c r="F61" i="1"/>
  <c r="F9" i="1"/>
  <c r="F44" i="1"/>
  <c r="F20" i="1"/>
  <c r="G44" i="1"/>
  <c r="F16" i="1"/>
  <c r="F8" i="1"/>
  <c r="F59" i="1"/>
  <c r="F51" i="1"/>
  <c r="F43" i="1"/>
  <c r="F35" i="1"/>
  <c r="F27" i="1"/>
  <c r="F19" i="1"/>
  <c r="G59" i="1"/>
  <c r="G51" i="1"/>
  <c r="G43" i="1"/>
  <c r="G35" i="1"/>
  <c r="G27" i="1"/>
  <c r="G19" i="1"/>
  <c r="G11" i="1"/>
  <c r="F48" i="1"/>
  <c r="H48" i="1" s="1"/>
  <c r="F24" i="1"/>
  <c r="G48" i="1"/>
  <c r="F63" i="1"/>
  <c r="F31" i="1"/>
  <c r="G39" i="1"/>
  <c r="G15" i="1"/>
  <c r="F10" i="1"/>
  <c r="F17" i="1"/>
  <c r="F52" i="1"/>
  <c r="F28" i="1"/>
  <c r="G52" i="1"/>
  <c r="G28" i="1"/>
  <c r="F15" i="1"/>
  <c r="F7" i="1"/>
  <c r="F58" i="1"/>
  <c r="F50" i="1"/>
  <c r="F42" i="1"/>
  <c r="F34" i="1"/>
  <c r="F26" i="1"/>
  <c r="F18" i="1"/>
  <c r="G58" i="1"/>
  <c r="G50" i="1"/>
  <c r="G42" i="1"/>
  <c r="G34" i="1"/>
  <c r="G26" i="1"/>
  <c r="G18" i="1"/>
  <c r="G10" i="1"/>
  <c r="F32" i="1"/>
  <c r="G40" i="1"/>
  <c r="G8" i="1"/>
  <c r="F55" i="1"/>
  <c r="H55" i="1" s="1"/>
  <c r="G63" i="1"/>
  <c r="G23" i="1"/>
  <c r="F5" i="1"/>
  <c r="F53" i="1"/>
  <c r="F60" i="1"/>
  <c r="F36" i="1"/>
  <c r="G60" i="1"/>
  <c r="G36" i="1"/>
  <c r="G20" i="1"/>
  <c r="G12" i="1"/>
  <c r="F14" i="1"/>
  <c r="F6" i="1"/>
  <c r="I7" i="1" s="1"/>
  <c r="F57" i="1"/>
  <c r="H57" i="1" s="1"/>
  <c r="F49" i="1"/>
  <c r="F41" i="1"/>
  <c r="F33" i="1"/>
  <c r="F25" i="1"/>
  <c r="G5" i="1"/>
  <c r="H5" i="1" s="1"/>
  <c r="G57" i="1"/>
  <c r="G49" i="1"/>
  <c r="G41" i="1"/>
  <c r="G33" i="1"/>
  <c r="G25" i="1"/>
  <c r="G17" i="1"/>
  <c r="I5" i="1"/>
  <c r="H43" i="1" l="1"/>
  <c r="H29" i="1"/>
  <c r="H62" i="1"/>
  <c r="I25" i="1"/>
  <c r="H49" i="1"/>
  <c r="H36" i="1"/>
  <c r="H35" i="1"/>
  <c r="H44" i="1"/>
  <c r="H21" i="1"/>
  <c r="H54" i="1"/>
  <c r="H60" i="1"/>
  <c r="H32" i="1"/>
  <c r="H9" i="1"/>
  <c r="H6" i="1"/>
  <c r="H53" i="1"/>
  <c r="H18" i="1"/>
  <c r="H31" i="1"/>
  <c r="H51" i="1"/>
  <c r="H61" i="1"/>
  <c r="H37" i="1"/>
  <c r="I9" i="1"/>
  <c r="I60" i="1"/>
  <c r="H47" i="1"/>
  <c r="I40" i="1"/>
  <c r="H16" i="1"/>
  <c r="I10" i="1"/>
  <c r="H14" i="1"/>
  <c r="I6" i="1"/>
  <c r="I15" i="1"/>
  <c r="I51" i="1"/>
  <c r="I28" i="1"/>
  <c r="I53" i="1"/>
  <c r="I54" i="1"/>
  <c r="I55" i="1"/>
  <c r="I50" i="1"/>
  <c r="I48" i="1"/>
  <c r="H33" i="1"/>
  <c r="H50" i="1"/>
  <c r="H17" i="1"/>
  <c r="H19" i="1"/>
  <c r="H39" i="1"/>
  <c r="H30" i="1"/>
  <c r="I64" i="1"/>
  <c r="I59" i="1"/>
  <c r="I44" i="1"/>
  <c r="I61" i="1"/>
  <c r="I62" i="1"/>
  <c r="I63" i="1"/>
  <c r="I58" i="1"/>
  <c r="I56" i="1"/>
  <c r="H41" i="1"/>
  <c r="H58" i="1"/>
  <c r="H10" i="1"/>
  <c r="H27" i="1"/>
  <c r="H20" i="1"/>
  <c r="H12" i="1"/>
  <c r="H38" i="1"/>
  <c r="I13" i="1"/>
  <c r="I19" i="1"/>
  <c r="I36" i="1"/>
  <c r="I21" i="1"/>
  <c r="I22" i="1"/>
  <c r="I23" i="1"/>
  <c r="I16" i="1"/>
  <c r="I33" i="1"/>
  <c r="H15" i="1"/>
  <c r="I27" i="1"/>
  <c r="I52" i="1"/>
  <c r="I29" i="1"/>
  <c r="I30" i="1"/>
  <c r="I31" i="1"/>
  <c r="I18" i="1"/>
  <c r="I24" i="1"/>
  <c r="I41" i="1"/>
  <c r="I11" i="1"/>
  <c r="H26" i="1"/>
  <c r="H63" i="1"/>
  <c r="H59" i="1"/>
  <c r="H7" i="1"/>
  <c r="H45" i="1"/>
  <c r="H40" i="1"/>
  <c r="H11" i="1"/>
  <c r="I20" i="1"/>
  <c r="I49" i="1"/>
  <c r="I35" i="1"/>
  <c r="I8" i="1"/>
  <c r="I37" i="1"/>
  <c r="I38" i="1"/>
  <c r="I39" i="1"/>
  <c r="I34" i="1"/>
  <c r="I32" i="1"/>
  <c r="I57" i="1"/>
  <c r="H34" i="1"/>
  <c r="H28" i="1"/>
  <c r="H8" i="1"/>
  <c r="I14" i="1"/>
  <c r="I17" i="1"/>
  <c r="I43" i="1"/>
  <c r="I12" i="1"/>
  <c r="I45" i="1"/>
  <c r="I46" i="1"/>
  <c r="I47" i="1"/>
  <c r="I42" i="1"/>
  <c r="I26" i="1"/>
  <c r="H25" i="1"/>
  <c r="H42" i="1"/>
  <c r="H52" i="1"/>
  <c r="H24" i="1"/>
  <c r="H22" i="1"/>
  <c r="H23" i="1"/>
</calcChain>
</file>

<file path=xl/sharedStrings.xml><?xml version="1.0" encoding="utf-8"?>
<sst xmlns="http://schemas.openxmlformats.org/spreadsheetml/2006/main" count="21" uniqueCount="14">
  <si>
    <t>loan amount</t>
  </si>
  <si>
    <t>interest Rate/Year</t>
  </si>
  <si>
    <t>tennure</t>
  </si>
  <si>
    <t>total month</t>
  </si>
  <si>
    <t>per month interest rate</t>
  </si>
  <si>
    <t>EMI</t>
  </si>
  <si>
    <t>month</t>
  </si>
  <si>
    <t>principal</t>
  </si>
  <si>
    <t>interest</t>
  </si>
  <si>
    <t>EMI DATE</t>
  </si>
  <si>
    <t>Remaining Balance</t>
  </si>
  <si>
    <t>absolute reference</t>
  </si>
  <si>
    <t>relative reference</t>
  </si>
  <si>
    <t>mixed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</si>
</sst>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 [$₹-449]\ * #,##0.00_ ;_ [$₹-449]\ * \-#,##0.00_ ;_ [$₹-449]\ * &quot;-&quot;??_ ;_ @_ 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4"/>
  <sheetViews>
    <sheetView workbookViewId="0">
      <selection activeCell="A4" sqref="A4:B12"/>
    </sheetView>
  </sheetViews>
  <sheetFormatPr defaultRowHeight="15" x14ac:dyDescent="0.25"/>
  <cols>
    <col min="1" max="1" width="22.140625" bestFit="1" customWidth="1"/>
    <col min="2" max="2" width="12" bestFit="1" customWidth="1"/>
    <col min="5" max="5" width="6.85546875" bestFit="1" customWidth="1"/>
    <col min="6" max="6" width="11.28515625" bestFit="1" customWidth="1"/>
    <col min="7" max="7" width="13" customWidth="1"/>
    <col min="8" max="8" width="11.28515625" bestFit="1" customWidth="1"/>
    <col min="9" max="9" width="18" bestFit="1" customWidth="1"/>
    <col min="10" max="10" width="10.7109375" bestFit="1" customWidth="1"/>
    <col min="14" max="14" width="18.140625" bestFit="1" customWidth="1"/>
  </cols>
  <sheetData>
    <row r="2" spans="1:14" x14ac:dyDescent="0.25">
      <c r="H2" s="3"/>
    </row>
    <row r="4" spans="1:14" ht="18.75" x14ac:dyDescent="0.3">
      <c r="A4" s="1" t="s">
        <v>0</v>
      </c>
      <c r="B4" s="1">
        <v>500000</v>
      </c>
      <c r="E4" t="s">
        <v>6</v>
      </c>
      <c r="F4" t="s">
        <v>7</v>
      </c>
      <c r="G4" t="s">
        <v>8</v>
      </c>
      <c r="H4" t="s">
        <v>5</v>
      </c>
      <c r="I4" t="s">
        <v>10</v>
      </c>
      <c r="J4" t="s">
        <v>9</v>
      </c>
    </row>
    <row r="5" spans="1:14" x14ac:dyDescent="0.25">
      <c r="A5" t="s">
        <v>1</v>
      </c>
      <c r="B5" s="2">
        <v>0.08</v>
      </c>
      <c r="E5">
        <v>1</v>
      </c>
      <c r="F5" s="3">
        <f>PPMT($B$8,E5,$B$7,$B$4)</f>
        <v>-6804.8638108735076</v>
      </c>
      <c r="G5" s="3">
        <f>IPMT($B$8,E5,$B$7,$B$4)</f>
        <v>-3333.3333333333335</v>
      </c>
      <c r="H5" s="3">
        <f>SUM(F5:G5)</f>
        <v>-10138.197144206841</v>
      </c>
      <c r="I5" s="3">
        <f>$B$4 +SUM($F$5:F5)</f>
        <v>493195.13618912647</v>
      </c>
      <c r="J5" s="4">
        <v>46091</v>
      </c>
    </row>
    <row r="6" spans="1:14" x14ac:dyDescent="0.25">
      <c r="A6" t="s">
        <v>2</v>
      </c>
      <c r="B6">
        <v>5</v>
      </c>
      <c r="E6">
        <v>2</v>
      </c>
      <c r="F6" s="3">
        <f t="shared" ref="F6:F64" si="0">PPMT($B$8,E6,$B$7,$B$4)</f>
        <v>-6850.2295696126639</v>
      </c>
      <c r="G6" s="3">
        <f t="shared" ref="G6:G64" si="1">IPMT($B$8,E6,$B$7,$B$4)</f>
        <v>-3287.9675745941768</v>
      </c>
      <c r="H6" s="3">
        <f t="shared" ref="H6:H64" si="2">SUM(F6:G6)</f>
        <v>-10138.197144206841</v>
      </c>
      <c r="I6" s="3">
        <f>$B$4 +SUM($F$5:F6)</f>
        <v>486344.90661951381</v>
      </c>
      <c r="J6" s="4">
        <v>46122</v>
      </c>
    </row>
    <row r="7" spans="1:14" x14ac:dyDescent="0.25">
      <c r="A7" t="s">
        <v>3</v>
      </c>
      <c r="B7">
        <f>B6*12</f>
        <v>60</v>
      </c>
      <c r="E7">
        <v>3</v>
      </c>
      <c r="F7" s="3">
        <f t="shared" si="0"/>
        <v>-6895.8977667434156</v>
      </c>
      <c r="G7" s="3">
        <f t="shared" si="1"/>
        <v>-3242.2993774634256</v>
      </c>
      <c r="H7" s="3">
        <f t="shared" si="2"/>
        <v>-10138.197144206841</v>
      </c>
      <c r="I7" s="3">
        <f>$B$4 +SUM($F$5:F7)</f>
        <v>479449.00885277044</v>
      </c>
      <c r="J7" s="4">
        <v>46152</v>
      </c>
    </row>
    <row r="8" spans="1:14" x14ac:dyDescent="0.25">
      <c r="A8" t="s">
        <v>4</v>
      </c>
      <c r="B8">
        <f>B5/12</f>
        <v>6.6666666666666671E-3</v>
      </c>
      <c r="E8">
        <v>4</v>
      </c>
      <c r="F8" s="3">
        <f t="shared" si="0"/>
        <v>-6941.8704185217039</v>
      </c>
      <c r="G8" s="3">
        <f t="shared" si="1"/>
        <v>-3196.3267256851359</v>
      </c>
      <c r="H8" s="3">
        <f t="shared" si="2"/>
        <v>-10138.197144206839</v>
      </c>
      <c r="I8" s="3">
        <f>$B$4 +SUM($F$5:F8)</f>
        <v>472507.13843424869</v>
      </c>
      <c r="J8" s="4">
        <v>46183</v>
      </c>
    </row>
    <row r="9" spans="1:14" x14ac:dyDescent="0.25">
      <c r="E9">
        <v>5</v>
      </c>
      <c r="F9" s="3">
        <f t="shared" si="0"/>
        <v>-6988.1495546451824</v>
      </c>
      <c r="G9" s="3">
        <f t="shared" si="1"/>
        <v>-3150.0475895616578</v>
      </c>
      <c r="H9" s="3">
        <f t="shared" si="2"/>
        <v>-10138.197144206841</v>
      </c>
      <c r="I9" s="3">
        <f>$B$4 +SUM($F$5:F9)</f>
        <v>465518.98887960351</v>
      </c>
      <c r="J9" s="4">
        <v>46213</v>
      </c>
      <c r="N9" t="s">
        <v>11</v>
      </c>
    </row>
    <row r="10" spans="1:14" x14ac:dyDescent="0.25">
      <c r="E10">
        <v>6</v>
      </c>
      <c r="F10" s="3">
        <f t="shared" si="0"/>
        <v>-7034.737218342817</v>
      </c>
      <c r="G10" s="3">
        <f t="shared" si="1"/>
        <v>-3103.4599258640233</v>
      </c>
      <c r="H10" s="3">
        <f t="shared" si="2"/>
        <v>-10138.197144206841</v>
      </c>
      <c r="I10" s="3">
        <f>$B$4 +SUM($F$5:F10)</f>
        <v>458484.25166126073</v>
      </c>
      <c r="J10" s="4">
        <v>46244</v>
      </c>
      <c r="N10" t="s">
        <v>12</v>
      </c>
    </row>
    <row r="11" spans="1:14" x14ac:dyDescent="0.25">
      <c r="E11">
        <v>7</v>
      </c>
      <c r="F11" s="3">
        <f t="shared" si="0"/>
        <v>-7081.6354664651026</v>
      </c>
      <c r="G11" s="3">
        <f t="shared" si="1"/>
        <v>-3056.5616777417381</v>
      </c>
      <c r="H11" s="3">
        <f t="shared" si="2"/>
        <v>-10138.197144206841</v>
      </c>
      <c r="I11" s="3">
        <f>$B$4 +SUM($F$5:F11)</f>
        <v>451402.61619479558</v>
      </c>
      <c r="J11" s="4">
        <v>46275</v>
      </c>
      <c r="N11" t="s">
        <v>13</v>
      </c>
    </row>
    <row r="12" spans="1:14" x14ac:dyDescent="0.25">
      <c r="A12" t="s">
        <v>5</v>
      </c>
      <c r="B12" s="3">
        <f>PMT(B8,B7,B4)</f>
        <v>-10138.197144206841</v>
      </c>
      <c r="E12">
        <v>8</v>
      </c>
      <c r="F12" s="3">
        <f t="shared" si="0"/>
        <v>-7128.8463695748696</v>
      </c>
      <c r="G12" s="3">
        <f t="shared" si="1"/>
        <v>-3009.3507746319706</v>
      </c>
      <c r="H12" s="3">
        <f t="shared" si="2"/>
        <v>-10138.197144206841</v>
      </c>
      <c r="I12" s="3">
        <f>$B$4 +SUM($F$5:F12)</f>
        <v>444273.76982522075</v>
      </c>
      <c r="J12" s="4">
        <v>46305</v>
      </c>
    </row>
    <row r="13" spans="1:14" x14ac:dyDescent="0.25">
      <c r="E13">
        <v>9</v>
      </c>
      <c r="F13" s="3">
        <f t="shared" si="0"/>
        <v>-7176.3720120387015</v>
      </c>
      <c r="G13" s="3">
        <f t="shared" si="1"/>
        <v>-2961.8251321681378</v>
      </c>
      <c r="H13" s="3">
        <f>SUM(F13:G13)</f>
        <v>-10138.197144206839</v>
      </c>
      <c r="I13" s="3">
        <f>$B$4 +SUM($F$5:F13)</f>
        <v>437097.39781318203</v>
      </c>
      <c r="J13" s="4">
        <v>46336</v>
      </c>
    </row>
    <row r="14" spans="1:14" x14ac:dyDescent="0.25">
      <c r="E14">
        <v>10</v>
      </c>
      <c r="F14" s="3">
        <f t="shared" si="0"/>
        <v>-7224.2144921189602</v>
      </c>
      <c r="G14" s="3">
        <f t="shared" si="1"/>
        <v>-2913.9826520878801</v>
      </c>
      <c r="H14" s="3">
        <f t="shared" si="2"/>
        <v>-10138.197144206841</v>
      </c>
      <c r="I14" s="3">
        <f>$B$4 +SUM($F$5:F14)</f>
        <v>429873.18332106306</v>
      </c>
      <c r="J14" s="4">
        <v>46366</v>
      </c>
    </row>
    <row r="15" spans="1:14" x14ac:dyDescent="0.25">
      <c r="E15">
        <v>11</v>
      </c>
      <c r="F15" s="3">
        <f t="shared" si="0"/>
        <v>-7272.3759220664197</v>
      </c>
      <c r="G15" s="3">
        <f t="shared" si="1"/>
        <v>-2865.8212221404201</v>
      </c>
      <c r="H15" s="3">
        <f t="shared" si="2"/>
        <v>-10138.197144206839</v>
      </c>
      <c r="I15" s="3">
        <f>$B$4 +SUM($F$5:F15)</f>
        <v>422600.80739899667</v>
      </c>
      <c r="J15" s="4">
        <v>46397</v>
      </c>
    </row>
    <row r="16" spans="1:14" x14ac:dyDescent="0.25">
      <c r="E16">
        <v>12</v>
      </c>
      <c r="F16" s="3">
        <f t="shared" si="0"/>
        <v>-7320.8584282135298</v>
      </c>
      <c r="G16" s="3">
        <f t="shared" si="1"/>
        <v>-2817.3387159933113</v>
      </c>
      <c r="H16" s="3">
        <f t="shared" si="2"/>
        <v>-10138.197144206841</v>
      </c>
      <c r="I16" s="3">
        <f>$B$4 +SUM($F$5:F16)</f>
        <v>415279.94897078315</v>
      </c>
      <c r="J16" s="4">
        <v>46428</v>
      </c>
    </row>
    <row r="17" spans="5:10" x14ac:dyDescent="0.25">
      <c r="E17">
        <v>13</v>
      </c>
      <c r="F17" s="3">
        <f t="shared" si="0"/>
        <v>-7369.6641510682866</v>
      </c>
      <c r="G17" s="3">
        <f t="shared" si="1"/>
        <v>-2768.5329931385536</v>
      </c>
      <c r="H17" s="3">
        <f t="shared" si="2"/>
        <v>-10138.197144206841</v>
      </c>
      <c r="I17" s="3">
        <f>$B$4 +SUM($F$5:F17)</f>
        <v>407910.28481971484</v>
      </c>
      <c r="J17" s="4">
        <v>46456</v>
      </c>
    </row>
    <row r="18" spans="5:10" x14ac:dyDescent="0.25">
      <c r="E18">
        <v>14</v>
      </c>
      <c r="F18" s="3">
        <f t="shared" si="0"/>
        <v>-7418.7952454087426</v>
      </c>
      <c r="G18" s="3">
        <f t="shared" si="1"/>
        <v>-2719.401898798099</v>
      </c>
      <c r="H18" s="3">
        <f t="shared" si="2"/>
        <v>-10138.197144206842</v>
      </c>
      <c r="I18" s="3">
        <f>$B$4 +SUM($F$5:F18)</f>
        <v>400491.48957430612</v>
      </c>
      <c r="J18" s="4">
        <v>46487</v>
      </c>
    </row>
    <row r="19" spans="5:10" x14ac:dyDescent="0.25">
      <c r="E19">
        <v>15</v>
      </c>
      <c r="F19" s="3">
        <f t="shared" si="0"/>
        <v>-7468.2538803781326</v>
      </c>
      <c r="G19" s="3">
        <f t="shared" si="1"/>
        <v>-2669.9432638287076</v>
      </c>
      <c r="H19" s="3">
        <f t="shared" si="2"/>
        <v>-10138.197144206841</v>
      </c>
      <c r="I19" s="3">
        <f>$B$4 +SUM($F$5:F19)</f>
        <v>393023.23569392797</v>
      </c>
      <c r="J19" s="4">
        <v>46517</v>
      </c>
    </row>
    <row r="20" spans="5:10" x14ac:dyDescent="0.25">
      <c r="E20">
        <v>16</v>
      </c>
      <c r="F20" s="3">
        <f t="shared" si="0"/>
        <v>-7518.0422395806536</v>
      </c>
      <c r="G20" s="3">
        <f t="shared" si="1"/>
        <v>-2620.1549046261862</v>
      </c>
      <c r="H20" s="3">
        <f t="shared" si="2"/>
        <v>-10138.197144206839</v>
      </c>
      <c r="I20" s="3">
        <f>$B$4 +SUM($F$5:F20)</f>
        <v>385505.19345434732</v>
      </c>
      <c r="J20" s="4">
        <v>46548</v>
      </c>
    </row>
    <row r="21" spans="5:10" x14ac:dyDescent="0.25">
      <c r="E21">
        <v>17</v>
      </c>
      <c r="F21" s="3">
        <f t="shared" si="0"/>
        <v>-7568.1625211778583</v>
      </c>
      <c r="G21" s="3">
        <f t="shared" si="1"/>
        <v>-2570.0346230289824</v>
      </c>
      <c r="H21" s="3">
        <f t="shared" si="2"/>
        <v>-10138.197144206841</v>
      </c>
      <c r="I21" s="3">
        <f>$B$4 +SUM($F$5:F21)</f>
        <v>377937.03093316947</v>
      </c>
      <c r="J21" s="4">
        <v>46578</v>
      </c>
    </row>
    <row r="22" spans="5:10" x14ac:dyDescent="0.25">
      <c r="E22">
        <v>18</v>
      </c>
      <c r="F22" s="3">
        <f t="shared" si="0"/>
        <v>-7618.616937985711</v>
      </c>
      <c r="G22" s="3">
        <f t="shared" si="1"/>
        <v>-2519.5802062211301</v>
      </c>
      <c r="H22" s="3">
        <f t="shared" si="2"/>
        <v>-10138.197144206841</v>
      </c>
      <c r="I22" s="3">
        <f>$B$4 +SUM($F$5:F22)</f>
        <v>370318.41399518377</v>
      </c>
      <c r="J22" s="4">
        <v>46609</v>
      </c>
    </row>
    <row r="23" spans="5:10" x14ac:dyDescent="0.25">
      <c r="E23">
        <v>19</v>
      </c>
      <c r="F23" s="3">
        <f t="shared" si="0"/>
        <v>-7669.4077175722832</v>
      </c>
      <c r="G23" s="3">
        <f t="shared" si="1"/>
        <v>-2468.7894266345584</v>
      </c>
      <c r="H23" s="3">
        <f t="shared" si="2"/>
        <v>-10138.197144206842</v>
      </c>
      <c r="I23" s="3">
        <f>$B$4 +SUM($F$5:F23)</f>
        <v>362649.00627761148</v>
      </c>
      <c r="J23" s="4">
        <v>46640</v>
      </c>
    </row>
    <row r="24" spans="5:10" x14ac:dyDescent="0.25">
      <c r="E24">
        <v>20</v>
      </c>
      <c r="F24" s="3">
        <f t="shared" si="0"/>
        <v>-7720.5371023560974</v>
      </c>
      <c r="G24" s="3">
        <f t="shared" si="1"/>
        <v>-2417.6600418507433</v>
      </c>
      <c r="H24" s="3">
        <f t="shared" si="2"/>
        <v>-10138.197144206841</v>
      </c>
      <c r="I24" s="3">
        <f>$B$4 +SUM($F$5:F24)</f>
        <v>354928.46917525539</v>
      </c>
      <c r="J24" s="4">
        <v>46670</v>
      </c>
    </row>
    <row r="25" spans="5:10" x14ac:dyDescent="0.25">
      <c r="E25">
        <v>21</v>
      </c>
      <c r="F25" s="3">
        <f t="shared" si="0"/>
        <v>-7772.007349705138</v>
      </c>
      <c r="G25" s="3">
        <f t="shared" si="1"/>
        <v>-2366.1897945017022</v>
      </c>
      <c r="H25" s="3">
        <f t="shared" si="2"/>
        <v>-10138.197144206841</v>
      </c>
      <c r="I25" s="3">
        <f>$B$4 +SUM($F$5:F25)</f>
        <v>347156.46182555024</v>
      </c>
      <c r="J25" s="4">
        <v>46701</v>
      </c>
    </row>
    <row r="26" spans="5:10" x14ac:dyDescent="0.25">
      <c r="E26">
        <v>22</v>
      </c>
      <c r="F26" s="3">
        <f t="shared" si="0"/>
        <v>-7823.8207320365063</v>
      </c>
      <c r="G26" s="3">
        <f t="shared" si="1"/>
        <v>-2314.3764121703343</v>
      </c>
      <c r="H26" s="3">
        <f t="shared" si="2"/>
        <v>-10138.197144206841</v>
      </c>
      <c r="I26" s="3">
        <f>$B$4 +SUM($F$5:F26)</f>
        <v>339332.6410935137</v>
      </c>
      <c r="J26" s="4">
        <v>46731</v>
      </c>
    </row>
    <row r="27" spans="5:10" x14ac:dyDescent="0.25">
      <c r="E27">
        <v>23</v>
      </c>
      <c r="F27" s="3">
        <f t="shared" si="0"/>
        <v>-7875.9795369167496</v>
      </c>
      <c r="G27" s="3">
        <f t="shared" si="1"/>
        <v>-2262.2176072900916</v>
      </c>
      <c r="H27" s="3">
        <f t="shared" si="2"/>
        <v>-10138.197144206841</v>
      </c>
      <c r="I27" s="3">
        <f>$B$4 +SUM($F$5:F27)</f>
        <v>331456.66155659698</v>
      </c>
      <c r="J27" s="4">
        <v>46762</v>
      </c>
    </row>
    <row r="28" spans="5:10" x14ac:dyDescent="0.25">
      <c r="E28">
        <v>24</v>
      </c>
      <c r="F28" s="3">
        <f t="shared" si="0"/>
        <v>-7928.4860671628594</v>
      </c>
      <c r="G28" s="3">
        <f t="shared" si="1"/>
        <v>-2209.7110770439795</v>
      </c>
      <c r="H28" s="3">
        <f t="shared" si="2"/>
        <v>-10138.197144206839</v>
      </c>
      <c r="I28" s="3">
        <f>$B$4 +SUM($F$5:F28)</f>
        <v>323528.17548943416</v>
      </c>
      <c r="J28" s="4">
        <v>46793</v>
      </c>
    </row>
    <row r="29" spans="5:10" x14ac:dyDescent="0.25">
      <c r="E29">
        <v>25</v>
      </c>
      <c r="F29" s="3">
        <f t="shared" si="0"/>
        <v>-7981.3426409439471</v>
      </c>
      <c r="G29" s="3">
        <f t="shared" si="1"/>
        <v>-2156.8545032628936</v>
      </c>
      <c r="H29" s="3">
        <f t="shared" si="2"/>
        <v>-10138.197144206841</v>
      </c>
      <c r="I29" s="3">
        <f>$B$4 +SUM($F$5:F29)</f>
        <v>315546.83284849022</v>
      </c>
      <c r="J29" s="4">
        <v>46822</v>
      </c>
    </row>
    <row r="30" spans="5:10" x14ac:dyDescent="0.25">
      <c r="E30">
        <v>26</v>
      </c>
      <c r="F30" s="3">
        <f t="shared" si="0"/>
        <v>-8034.5515918835727</v>
      </c>
      <c r="G30" s="3">
        <f t="shared" si="1"/>
        <v>-2103.645552323268</v>
      </c>
      <c r="H30" s="3">
        <f t="shared" si="2"/>
        <v>-10138.197144206841</v>
      </c>
      <c r="I30" s="3">
        <f>$B$4 +SUM($F$5:F30)</f>
        <v>307512.28125660663</v>
      </c>
      <c r="J30" s="4">
        <v>46853</v>
      </c>
    </row>
    <row r="31" spans="5:10" x14ac:dyDescent="0.25">
      <c r="E31">
        <v>27</v>
      </c>
      <c r="F31" s="3">
        <f t="shared" si="0"/>
        <v>-8088.1152691627967</v>
      </c>
      <c r="G31" s="3">
        <f t="shared" si="1"/>
        <v>-2050.0818750440435</v>
      </c>
      <c r="H31" s="3">
        <f t="shared" si="2"/>
        <v>-10138.197144206841</v>
      </c>
      <c r="I31" s="3">
        <f>$B$4 +SUM($F$5:F31)</f>
        <v>299424.16598744382</v>
      </c>
      <c r="J31" s="4">
        <v>46883</v>
      </c>
    </row>
    <row r="32" spans="5:10" x14ac:dyDescent="0.25">
      <c r="E32">
        <v>28</v>
      </c>
      <c r="F32" s="3">
        <f t="shared" si="0"/>
        <v>-8142.0360376238814</v>
      </c>
      <c r="G32" s="3">
        <f t="shared" si="1"/>
        <v>-1996.1611065829586</v>
      </c>
      <c r="H32" s="3">
        <f t="shared" si="2"/>
        <v>-10138.197144206841</v>
      </c>
      <c r="I32" s="3">
        <f>$B$4 +SUM($F$5:F32)</f>
        <v>291282.12994981994</v>
      </c>
      <c r="J32" s="4">
        <v>46914</v>
      </c>
    </row>
    <row r="33" spans="5:10" x14ac:dyDescent="0.25">
      <c r="E33">
        <v>29</v>
      </c>
      <c r="F33" s="3">
        <f t="shared" si="0"/>
        <v>-8196.3162778747064</v>
      </c>
      <c r="G33" s="3">
        <f t="shared" si="1"/>
        <v>-1941.8808663321327</v>
      </c>
      <c r="H33" s="3">
        <f t="shared" si="2"/>
        <v>-10138.197144206839</v>
      </c>
      <c r="I33" s="3">
        <f>$B$4 +SUM($F$5:F33)</f>
        <v>283085.81367194525</v>
      </c>
      <c r="J33" s="4">
        <v>46944</v>
      </c>
    </row>
    <row r="34" spans="5:10" x14ac:dyDescent="0.25">
      <c r="E34">
        <v>30</v>
      </c>
      <c r="F34" s="3">
        <f t="shared" si="0"/>
        <v>-8250.9583863938715</v>
      </c>
      <c r="G34" s="3">
        <f t="shared" si="1"/>
        <v>-1887.2387578129681</v>
      </c>
      <c r="H34" s="3">
        <f t="shared" si="2"/>
        <v>-10138.197144206839</v>
      </c>
      <c r="I34" s="3">
        <f>$B$4 +SUM($F$5:F34)</f>
        <v>274834.8552855514</v>
      </c>
      <c r="J34" s="4">
        <v>46975</v>
      </c>
    </row>
    <row r="35" spans="5:10" x14ac:dyDescent="0.25">
      <c r="E35">
        <v>31</v>
      </c>
      <c r="F35" s="3">
        <f t="shared" si="0"/>
        <v>-8305.9647756364975</v>
      </c>
      <c r="G35" s="3">
        <f t="shared" si="1"/>
        <v>-1832.232368570342</v>
      </c>
      <c r="H35" s="3">
        <f t="shared" si="2"/>
        <v>-10138.197144206839</v>
      </c>
      <c r="I35" s="3">
        <f>$B$4 +SUM($F$5:F35)</f>
        <v>266528.89050991484</v>
      </c>
      <c r="J35" s="4">
        <v>47006</v>
      </c>
    </row>
    <row r="36" spans="5:10" x14ac:dyDescent="0.25">
      <c r="E36">
        <v>32</v>
      </c>
      <c r="F36" s="3">
        <f t="shared" si="0"/>
        <v>-8361.3378741407432</v>
      </c>
      <c r="G36" s="3">
        <f t="shared" si="1"/>
        <v>-1776.8592700660986</v>
      </c>
      <c r="H36" s="3">
        <f t="shared" si="2"/>
        <v>-10138.197144206842</v>
      </c>
      <c r="I36" s="3">
        <f>$B$4 +SUM($F$5:F36)</f>
        <v>258167.55263577413</v>
      </c>
      <c r="J36" s="4">
        <v>47036</v>
      </c>
    </row>
    <row r="37" spans="5:10" x14ac:dyDescent="0.25">
      <c r="E37">
        <v>33</v>
      </c>
      <c r="F37" s="3">
        <f t="shared" si="0"/>
        <v>-8417.0801266350136</v>
      </c>
      <c r="G37" s="3">
        <f t="shared" si="1"/>
        <v>-1721.1170175718271</v>
      </c>
      <c r="H37" s="3">
        <f t="shared" si="2"/>
        <v>-10138.197144206841</v>
      </c>
      <c r="I37" s="3">
        <f>$B$4 +SUM($F$5:F37)</f>
        <v>249750.47250913913</v>
      </c>
      <c r="J37" s="4">
        <v>47067</v>
      </c>
    </row>
    <row r="38" spans="5:10" x14ac:dyDescent="0.25">
      <c r="E38">
        <v>34</v>
      </c>
      <c r="F38" s="3">
        <f t="shared" si="0"/>
        <v>-8473.1939941459132</v>
      </c>
      <c r="G38" s="3">
        <f t="shared" si="1"/>
        <v>-1665.0031500609271</v>
      </c>
      <c r="H38" s="3">
        <f t="shared" si="2"/>
        <v>-10138.197144206841</v>
      </c>
      <c r="I38" s="3">
        <f>$B$4 +SUM($F$5:F38)</f>
        <v>241277.2785149932</v>
      </c>
      <c r="J38" s="4">
        <v>47097</v>
      </c>
    </row>
    <row r="39" spans="5:10" x14ac:dyDescent="0.25">
      <c r="E39">
        <v>35</v>
      </c>
      <c r="F39" s="3">
        <f t="shared" si="0"/>
        <v>-8529.6819541068853</v>
      </c>
      <c r="G39" s="3">
        <f t="shared" si="1"/>
        <v>-1608.5151900999542</v>
      </c>
      <c r="H39" s="3">
        <f t="shared" si="2"/>
        <v>-10138.197144206839</v>
      </c>
      <c r="I39" s="3">
        <f>$B$4 +SUM($F$5:F39)</f>
        <v>232747.5965608863</v>
      </c>
      <c r="J39" s="4">
        <v>47128</v>
      </c>
    </row>
    <row r="40" spans="5:10" x14ac:dyDescent="0.25">
      <c r="E40">
        <v>36</v>
      </c>
      <c r="F40" s="3">
        <f t="shared" si="0"/>
        <v>-8586.5465004675989</v>
      </c>
      <c r="G40" s="3">
        <f t="shared" si="1"/>
        <v>-1551.6506437392418</v>
      </c>
      <c r="H40" s="3">
        <f t="shared" si="2"/>
        <v>-10138.197144206841</v>
      </c>
      <c r="I40" s="3">
        <f>$B$4 +SUM($F$5:F40)</f>
        <v>224161.05006041873</v>
      </c>
      <c r="J40" s="4">
        <v>47159</v>
      </c>
    </row>
    <row r="41" spans="5:10" x14ac:dyDescent="0.25">
      <c r="E41">
        <v>37</v>
      </c>
      <c r="F41" s="3">
        <f t="shared" si="0"/>
        <v>-8643.7901438040499</v>
      </c>
      <c r="G41" s="3">
        <f t="shared" si="1"/>
        <v>-1494.407000402791</v>
      </c>
      <c r="H41" s="3">
        <f t="shared" si="2"/>
        <v>-10138.197144206841</v>
      </c>
      <c r="I41" s="3">
        <f>$B$4 +SUM($F$5:F41)</f>
        <v>215517.25991661468</v>
      </c>
      <c r="J41" s="4">
        <v>47187</v>
      </c>
    </row>
    <row r="42" spans="5:10" x14ac:dyDescent="0.25">
      <c r="E42">
        <v>38</v>
      </c>
      <c r="F42" s="3">
        <f t="shared" si="0"/>
        <v>-8701.4154114294106</v>
      </c>
      <c r="G42" s="3">
        <f t="shared" si="1"/>
        <v>-1436.7817327774305</v>
      </c>
      <c r="H42" s="3">
        <f t="shared" si="2"/>
        <v>-10138.197144206841</v>
      </c>
      <c r="I42" s="3">
        <f>$B$4 +SUM($F$5:F42)</f>
        <v>206815.84450518526</v>
      </c>
      <c r="J42" s="4">
        <v>47218</v>
      </c>
    </row>
    <row r="43" spans="5:10" x14ac:dyDescent="0.25">
      <c r="E43">
        <v>39</v>
      </c>
      <c r="F43" s="3">
        <f t="shared" si="0"/>
        <v>-8759.4248475056047</v>
      </c>
      <c r="G43" s="3">
        <f t="shared" si="1"/>
        <v>-1378.7722967012348</v>
      </c>
      <c r="H43" s="3">
        <f t="shared" si="2"/>
        <v>-10138.197144206839</v>
      </c>
      <c r="I43" s="3">
        <f>$B$4 +SUM($F$5:F43)</f>
        <v>198056.41965767968</v>
      </c>
      <c r="J43" s="4">
        <v>47248</v>
      </c>
    </row>
    <row r="44" spans="5:10" x14ac:dyDescent="0.25">
      <c r="E44">
        <v>40</v>
      </c>
      <c r="F44" s="3">
        <f t="shared" si="0"/>
        <v>-8817.8210131556443</v>
      </c>
      <c r="G44" s="3">
        <f t="shared" si="1"/>
        <v>-1320.3761310511973</v>
      </c>
      <c r="H44" s="3">
        <f t="shared" si="2"/>
        <v>-10138.197144206842</v>
      </c>
      <c r="I44" s="3">
        <f>$B$4 +SUM($F$5:F44)</f>
        <v>189238.59864452406</v>
      </c>
      <c r="J44" s="4">
        <v>47279</v>
      </c>
    </row>
    <row r="45" spans="5:10" x14ac:dyDescent="0.25">
      <c r="E45">
        <v>41</v>
      </c>
      <c r="F45" s="3">
        <f t="shared" si="0"/>
        <v>-8876.6064865766821</v>
      </c>
      <c r="G45" s="3">
        <f t="shared" si="1"/>
        <v>-1261.5906576301597</v>
      </c>
      <c r="H45" s="3">
        <f t="shared" si="2"/>
        <v>-10138.197144206842</v>
      </c>
      <c r="I45" s="3">
        <f>$B$4 +SUM($F$5:F45)</f>
        <v>180361.99215794739</v>
      </c>
      <c r="J45" s="4">
        <v>47309</v>
      </c>
    </row>
    <row r="46" spans="5:10" x14ac:dyDescent="0.25">
      <c r="E46">
        <v>42</v>
      </c>
      <c r="F46" s="3">
        <f t="shared" si="0"/>
        <v>-8935.783863153858</v>
      </c>
      <c r="G46" s="3">
        <f t="shared" si="1"/>
        <v>-1202.4132810529818</v>
      </c>
      <c r="H46" s="3">
        <f t="shared" si="2"/>
        <v>-10138.197144206839</v>
      </c>
      <c r="I46" s="3">
        <f>$B$4 +SUM($F$5:F46)</f>
        <v>171426.20829479356</v>
      </c>
      <c r="J46" s="4">
        <v>47340</v>
      </c>
    </row>
    <row r="47" spans="5:10" x14ac:dyDescent="0.25">
      <c r="E47">
        <v>43</v>
      </c>
      <c r="F47" s="3">
        <f t="shared" si="0"/>
        <v>-8995.3557555748848</v>
      </c>
      <c r="G47" s="3">
        <f t="shared" si="1"/>
        <v>-1142.8413886319561</v>
      </c>
      <c r="H47" s="3">
        <f t="shared" si="2"/>
        <v>-10138.197144206841</v>
      </c>
      <c r="I47" s="3">
        <f>$B$4 +SUM($F$5:F47)</f>
        <v>162430.85253921867</v>
      </c>
      <c r="J47" s="4">
        <v>47371</v>
      </c>
    </row>
    <row r="48" spans="5:10" x14ac:dyDescent="0.25">
      <c r="E48">
        <v>44</v>
      </c>
      <c r="F48" s="3">
        <f t="shared" si="0"/>
        <v>-9055.3247939453831</v>
      </c>
      <c r="G48" s="3">
        <f t="shared" si="1"/>
        <v>-1082.8723502614566</v>
      </c>
      <c r="H48" s="3">
        <f t="shared" si="2"/>
        <v>-10138.197144206839</v>
      </c>
      <c r="I48" s="3">
        <f>$B$4 +SUM($F$5:F48)</f>
        <v>153375.52774527331</v>
      </c>
      <c r="J48" s="4">
        <v>47401</v>
      </c>
    </row>
    <row r="49" spans="5:10" x14ac:dyDescent="0.25">
      <c r="E49">
        <v>45</v>
      </c>
      <c r="F49" s="3">
        <f t="shared" si="0"/>
        <v>-9115.6936259050199</v>
      </c>
      <c r="G49" s="3">
        <f t="shared" si="1"/>
        <v>-1022.503518301821</v>
      </c>
      <c r="H49" s="3">
        <f t="shared" si="2"/>
        <v>-10138.197144206841</v>
      </c>
      <c r="I49" s="3">
        <f>$B$4 +SUM($F$5:F49)</f>
        <v>144259.83411936829</v>
      </c>
      <c r="J49" s="4">
        <v>47432</v>
      </c>
    </row>
    <row r="50" spans="5:10" x14ac:dyDescent="0.25">
      <c r="E50">
        <v>46</v>
      </c>
      <c r="F50" s="3">
        <f t="shared" si="0"/>
        <v>-9176.4649167443858</v>
      </c>
      <c r="G50" s="3">
        <f t="shared" si="1"/>
        <v>-961.73222746245415</v>
      </c>
      <c r="H50" s="3">
        <f t="shared" si="2"/>
        <v>-10138.197144206841</v>
      </c>
      <c r="I50" s="3">
        <f>$B$4 +SUM($F$5:F50)</f>
        <v>135083.3692026239</v>
      </c>
      <c r="J50" s="4">
        <v>47462</v>
      </c>
    </row>
    <row r="51" spans="5:10" x14ac:dyDescent="0.25">
      <c r="E51">
        <v>47</v>
      </c>
      <c r="F51" s="3">
        <f t="shared" si="0"/>
        <v>-9237.6413495226825</v>
      </c>
      <c r="G51" s="3">
        <f t="shared" si="1"/>
        <v>-900.55579468415829</v>
      </c>
      <c r="H51" s="3">
        <f t="shared" si="2"/>
        <v>-10138.197144206841</v>
      </c>
      <c r="I51" s="3">
        <f>$B$4 +SUM($F$5:F51)</f>
        <v>125845.72785310121</v>
      </c>
      <c r="J51" s="4">
        <v>47493</v>
      </c>
    </row>
    <row r="52" spans="5:10" x14ac:dyDescent="0.25">
      <c r="E52">
        <v>48</v>
      </c>
      <c r="F52" s="3">
        <f t="shared" si="0"/>
        <v>-9299.2256251861672</v>
      </c>
      <c r="G52" s="3">
        <f t="shared" si="1"/>
        <v>-838.97151902067355</v>
      </c>
      <c r="H52" s="3">
        <f t="shared" si="2"/>
        <v>-10138.197144206841</v>
      </c>
      <c r="I52" s="3">
        <f>$B$4 +SUM($F$5:F52)</f>
        <v>116546.50222791504</v>
      </c>
      <c r="J52" s="4">
        <v>47524</v>
      </c>
    </row>
    <row r="53" spans="5:10" x14ac:dyDescent="0.25">
      <c r="E53">
        <v>49</v>
      </c>
      <c r="F53" s="3">
        <f t="shared" si="0"/>
        <v>-9361.2204626874081</v>
      </c>
      <c r="G53" s="3">
        <f t="shared" si="1"/>
        <v>-776.97668151943253</v>
      </c>
      <c r="H53" s="3">
        <f t="shared" si="2"/>
        <v>-10138.197144206841</v>
      </c>
      <c r="I53" s="3">
        <f>$B$4 +SUM($F$5:F53)</f>
        <v>107185.28176522761</v>
      </c>
      <c r="J53" s="4">
        <v>47552</v>
      </c>
    </row>
    <row r="54" spans="5:10" x14ac:dyDescent="0.25">
      <c r="E54">
        <v>50</v>
      </c>
      <c r="F54" s="3">
        <f t="shared" si="0"/>
        <v>-9423.6285991053246</v>
      </c>
      <c r="G54" s="3">
        <f t="shared" si="1"/>
        <v>-714.56854510151652</v>
      </c>
      <c r="H54" s="3">
        <f t="shared" si="2"/>
        <v>-10138.197144206841</v>
      </c>
      <c r="I54" s="3">
        <f>$B$4 +SUM($F$5:F54)</f>
        <v>97761.653166122269</v>
      </c>
      <c r="J54" s="4">
        <v>47583</v>
      </c>
    </row>
    <row r="55" spans="5:10" x14ac:dyDescent="0.25">
      <c r="E55">
        <v>51</v>
      </c>
      <c r="F55" s="3">
        <f t="shared" si="0"/>
        <v>-9486.4527897660246</v>
      </c>
      <c r="G55" s="3">
        <f t="shared" si="1"/>
        <v>-651.74435444081416</v>
      </c>
      <c r="H55" s="3">
        <f t="shared" si="2"/>
        <v>-10138.197144206839</v>
      </c>
      <c r="I55" s="3">
        <f>$B$4 +SUM($F$5:F55)</f>
        <v>88275.200376356253</v>
      </c>
      <c r="J55" s="4">
        <v>47613</v>
      </c>
    </row>
    <row r="56" spans="5:10" x14ac:dyDescent="0.25">
      <c r="E56">
        <v>52</v>
      </c>
      <c r="F56" s="3">
        <f t="shared" si="0"/>
        <v>-9549.6958083644658</v>
      </c>
      <c r="G56" s="3">
        <f t="shared" si="1"/>
        <v>-588.50133584237415</v>
      </c>
      <c r="H56" s="3">
        <f t="shared" si="2"/>
        <v>-10138.197144206841</v>
      </c>
      <c r="I56" s="3">
        <f>$B$4 +SUM($F$5:F56)</f>
        <v>78725.504567991768</v>
      </c>
      <c r="J56" s="4">
        <v>47644</v>
      </c>
    </row>
    <row r="57" spans="5:10" x14ac:dyDescent="0.25">
      <c r="E57">
        <v>53</v>
      </c>
      <c r="F57" s="3">
        <f t="shared" si="0"/>
        <v>-9613.3604470868959</v>
      </c>
      <c r="G57" s="3">
        <f t="shared" si="1"/>
        <v>-524.83669711994423</v>
      </c>
      <c r="H57" s="3">
        <f t="shared" si="2"/>
        <v>-10138.197144206841</v>
      </c>
      <c r="I57" s="3">
        <f>$B$4 +SUM($F$5:F57)</f>
        <v>69112.14412090485</v>
      </c>
      <c r="J57" s="4">
        <v>47674</v>
      </c>
    </row>
    <row r="58" spans="5:10" x14ac:dyDescent="0.25">
      <c r="E58">
        <v>54</v>
      </c>
      <c r="F58" s="3">
        <f t="shared" si="0"/>
        <v>-9677.4495167341429</v>
      </c>
      <c r="G58" s="3">
        <f t="shared" si="1"/>
        <v>-460.74762747269835</v>
      </c>
      <c r="H58" s="3">
        <f t="shared" si="2"/>
        <v>-10138.197144206841</v>
      </c>
      <c r="I58" s="3">
        <f>$B$4 +SUM($F$5:F58)</f>
        <v>59434.694604170683</v>
      </c>
      <c r="J58" s="4">
        <v>47705</v>
      </c>
    </row>
    <row r="59" spans="5:10" x14ac:dyDescent="0.25">
      <c r="E59">
        <v>55</v>
      </c>
      <c r="F59" s="3">
        <f t="shared" si="0"/>
        <v>-9741.9658468457037</v>
      </c>
      <c r="G59" s="3">
        <f t="shared" si="1"/>
        <v>-396.23129736113736</v>
      </c>
      <c r="H59" s="3">
        <f t="shared" si="2"/>
        <v>-10138.197144206841</v>
      </c>
      <c r="I59" s="3">
        <f>$B$4 +SUM($F$5:F59)</f>
        <v>49692.728757324978</v>
      </c>
      <c r="J59" s="4">
        <v>47736</v>
      </c>
    </row>
    <row r="60" spans="5:10" x14ac:dyDescent="0.25">
      <c r="E60">
        <v>56</v>
      </c>
      <c r="F60" s="3">
        <f t="shared" si="0"/>
        <v>-9806.9122858246756</v>
      </c>
      <c r="G60" s="3">
        <f t="shared" si="1"/>
        <v>-331.28485838216602</v>
      </c>
      <c r="H60" s="3">
        <f t="shared" si="2"/>
        <v>-10138.197144206842</v>
      </c>
      <c r="I60" s="3">
        <f>$B$4 +SUM($F$5:F60)</f>
        <v>39885.816471500322</v>
      </c>
      <c r="J60" s="4">
        <v>47766</v>
      </c>
    </row>
    <row r="61" spans="5:10" x14ac:dyDescent="0.25">
      <c r="E61">
        <v>57</v>
      </c>
      <c r="F61" s="3">
        <f t="shared" si="0"/>
        <v>-9872.2917010635065</v>
      </c>
      <c r="G61" s="3">
        <f t="shared" si="1"/>
        <v>-265.90544314333482</v>
      </c>
      <c r="H61" s="3">
        <f t="shared" si="2"/>
        <v>-10138.197144206841</v>
      </c>
      <c r="I61" s="3">
        <f>$B$4 +SUM($F$5:F61)</f>
        <v>30013.524770436808</v>
      </c>
      <c r="J61" s="4">
        <v>47797</v>
      </c>
    </row>
    <row r="62" spans="5:10" x14ac:dyDescent="0.25">
      <c r="E62">
        <v>58</v>
      </c>
      <c r="F62" s="3">
        <f t="shared" si="0"/>
        <v>-9938.1069790705969</v>
      </c>
      <c r="G62" s="3">
        <f t="shared" si="1"/>
        <v>-200.09016513624476</v>
      </c>
      <c r="H62" s="3">
        <f t="shared" si="2"/>
        <v>-10138.197144206842</v>
      </c>
      <c r="I62" s="3">
        <f>$B$4 +SUM($F$5:F62)</f>
        <v>20075.417791366228</v>
      </c>
      <c r="J62" s="4">
        <v>47827</v>
      </c>
    </row>
    <row r="63" spans="5:10" x14ac:dyDescent="0.25">
      <c r="E63">
        <v>59</v>
      </c>
      <c r="F63" s="3">
        <f t="shared" si="0"/>
        <v>-10004.361025597733</v>
      </c>
      <c r="G63" s="3">
        <f t="shared" si="1"/>
        <v>-133.83611860910747</v>
      </c>
      <c r="H63" s="3">
        <f t="shared" si="2"/>
        <v>-10138.197144206841</v>
      </c>
      <c r="I63" s="3">
        <f>$B$4 +SUM($F$5:F63)</f>
        <v>10071.056765768502</v>
      </c>
      <c r="J63" s="4">
        <v>47858</v>
      </c>
    </row>
    <row r="64" spans="5:10" x14ac:dyDescent="0.25">
      <c r="E64">
        <v>60</v>
      </c>
      <c r="F64" s="3">
        <f t="shared" si="0"/>
        <v>-10071.056765768384</v>
      </c>
      <c r="G64" s="3">
        <f t="shared" si="1"/>
        <v>-67.140378438455897</v>
      </c>
      <c r="H64" s="3">
        <f t="shared" si="2"/>
        <v>-10138.197144206841</v>
      </c>
      <c r="I64" s="3">
        <f>$B$4 +SUM($F$5:F64)</f>
        <v>0</v>
      </c>
      <c r="J64" s="4">
        <v>47889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7"/>
  <sheetViews>
    <sheetView tabSelected="1" workbookViewId="0">
      <selection activeCell="F13" sqref="F13:K17"/>
    </sheetView>
  </sheetViews>
  <sheetFormatPr defaultRowHeight="15" x14ac:dyDescent="0.25"/>
  <cols>
    <col min="1" max="1" width="22.140625" bestFit="1" customWidth="1"/>
    <col min="2" max="2" width="12.28515625" bestFit="1" customWidth="1"/>
    <col min="6" max="6" width="11.28515625" bestFit="1" customWidth="1"/>
    <col min="7" max="7" width="12.140625" customWidth="1"/>
    <col min="8" max="8" width="13" customWidth="1"/>
    <col min="9" max="9" width="13.140625" customWidth="1"/>
    <col min="10" max="10" width="11.5703125" customWidth="1"/>
    <col min="11" max="11" width="15.42578125" customWidth="1"/>
  </cols>
  <sheetData>
    <row r="4" spans="1:13" ht="18.75" x14ac:dyDescent="0.3">
      <c r="A4" s="1" t="s">
        <v>0</v>
      </c>
      <c r="B4" s="1">
        <v>200000</v>
      </c>
    </row>
    <row r="5" spans="1:13" x14ac:dyDescent="0.25">
      <c r="A5" t="s">
        <v>1</v>
      </c>
      <c r="B5" s="2">
        <v>0.08</v>
      </c>
    </row>
    <row r="6" spans="1:13" x14ac:dyDescent="0.25">
      <c r="A6" t="s">
        <v>2</v>
      </c>
      <c r="B6">
        <v>5</v>
      </c>
    </row>
    <row r="7" spans="1:13" x14ac:dyDescent="0.25">
      <c r="A7" t="s">
        <v>3</v>
      </c>
      <c r="B7">
        <f>B6*12</f>
        <v>60</v>
      </c>
    </row>
    <row r="8" spans="1:13" x14ac:dyDescent="0.25">
      <c r="A8" t="s">
        <v>4</v>
      </c>
      <c r="B8">
        <f>B5/12</f>
        <v>6.6666666666666671E-3</v>
      </c>
    </row>
    <row r="12" spans="1:13" x14ac:dyDescent="0.25">
      <c r="A12" t="s">
        <v>5</v>
      </c>
      <c r="B12" s="3">
        <f>PMT(B8,B7,B4)</f>
        <v>-4055.2788576827365</v>
      </c>
    </row>
    <row r="13" spans="1:13" x14ac:dyDescent="0.25">
      <c r="F13" s="3">
        <f>B12</f>
        <v>-4055.2788576827365</v>
      </c>
      <c r="G13" s="2">
        <v>0.08</v>
      </c>
      <c r="H13" s="2">
        <v>0.09</v>
      </c>
      <c r="I13" s="2">
        <v>0.1</v>
      </c>
      <c r="J13" s="2">
        <v>0.11</v>
      </c>
      <c r="K13" s="2">
        <v>0.12</v>
      </c>
      <c r="L13" s="2"/>
      <c r="M13" s="2"/>
    </row>
    <row r="14" spans="1:13" x14ac:dyDescent="0.25">
      <c r="F14">
        <v>3</v>
      </c>
      <c r="G14">
        <f t="dataTable" ref="G14:K17" dt2D="1" dtr="1" r1="B5" r2="B6"/>
        <v>-6267.2730922861692</v>
      </c>
      <c r="H14">
        <v>-6359.9465319881374</v>
      </c>
      <c r="I14">
        <v>-6453.437438767497</v>
      </c>
      <c r="J14">
        <v>-6547.7434234004086</v>
      </c>
      <c r="K14">
        <v>-6642.8619625702386</v>
      </c>
    </row>
    <row r="15" spans="1:13" x14ac:dyDescent="0.25">
      <c r="F15">
        <v>5</v>
      </c>
      <c r="G15">
        <v>-4055.2788576827365</v>
      </c>
      <c r="H15">
        <v>-4151.6710452708021</v>
      </c>
      <c r="I15">
        <v>-4249.4089422536554</v>
      </c>
      <c r="J15">
        <v>-4348.484614528662</v>
      </c>
      <c r="K15">
        <v>-4448.8895369803549</v>
      </c>
    </row>
    <row r="16" spans="1:13" x14ac:dyDescent="0.25">
      <c r="F16">
        <v>7</v>
      </c>
      <c r="G16">
        <v>-3117.2428805339082</v>
      </c>
      <c r="H16">
        <v>-3217.8156520077096</v>
      </c>
      <c r="I16">
        <v>-3320.2368053771816</v>
      </c>
      <c r="J16">
        <v>-3424.4872869797518</v>
      </c>
      <c r="K16">
        <v>-3530.546559414764</v>
      </c>
    </row>
    <row r="17" spans="6:11" x14ac:dyDescent="0.25">
      <c r="F17">
        <v>9</v>
      </c>
      <c r="G17">
        <v>-2603.7429774472425</v>
      </c>
      <c r="H17">
        <v>-2708.5817306274512</v>
      </c>
      <c r="I17">
        <v>-2815.7372434742447</v>
      </c>
      <c r="J17">
        <v>-2925.1722041676708</v>
      </c>
      <c r="K17">
        <v>-3036.8465223522935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 CALCULATE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2026-03-16T06:53:40Z</dcterms:created>
  <dcterms:modified xsi:type="dcterms:W3CDTF">2026-03-16T07:27:26Z</dcterms:modified>
</cp:coreProperties>
</file>