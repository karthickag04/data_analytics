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_analytics\batch_04\"/>
    </mc:Choice>
  </mc:AlternateContent>
  <bookViews>
    <workbookView xWindow="-120" yWindow="-120" windowWidth="19440" windowHeight="11640"/>
  </bookViews>
  <sheets>
    <sheet name="lookupH" sheetId="10" r:id="rId1"/>
    <sheet name="LookupV" sheetId="9" r:id="rId2"/>
    <sheet name="Basic Math Formulas" sheetId="4" r:id="rId3"/>
    <sheet name="date and Time Functions" sheetId="2" r:id="rId4"/>
    <sheet name="Text Functins" sheetId="1" r:id="rId5"/>
    <sheet name="Logical Functions" sheetId="3" r:id="rId6"/>
    <sheet name="Statistical Functions" sheetId="5" r:id="rId7"/>
    <sheet name="Lookup (V and H _Lookup) " sheetId="6" r:id="rId8"/>
    <sheet name="Reference Functions" sheetId="7" r:id="rId9"/>
    <sheet name="Sheet1" sheetId="8" r:id="rId10"/>
  </sheets>
  <definedNames>
    <definedName name="_xlnm._FilterDatabase" localSheetId="5" hidden="1">'Logical Functions'!$A$5:$G$8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10" l="1"/>
  <c r="K5" i="9"/>
  <c r="K4" i="9"/>
  <c r="K1" i="9"/>
  <c r="J4" i="3" l="1"/>
  <c r="J5" i="3"/>
  <c r="I5" i="3"/>
  <c r="F5" i="3"/>
  <c r="G5" i="3"/>
  <c r="E7" i="3"/>
  <c r="E13" i="3"/>
  <c r="E8" i="3"/>
  <c r="E6" i="3"/>
  <c r="E5" i="3"/>
  <c r="E4" i="3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4" i="1"/>
  <c r="L9" i="1"/>
  <c r="V4" i="1"/>
  <c r="P5" i="1"/>
  <c r="Q4" i="1"/>
  <c r="P4" i="1"/>
  <c r="M6" i="1"/>
  <c r="M10" i="1"/>
  <c r="M14" i="1"/>
  <c r="M18" i="1"/>
  <c r="M22" i="1"/>
  <c r="M26" i="1"/>
  <c r="M30" i="1"/>
  <c r="M34" i="1"/>
  <c r="L4" i="1"/>
  <c r="K4" i="1"/>
  <c r="M4" i="1" s="1"/>
  <c r="K5" i="1"/>
  <c r="N5" i="1" s="1"/>
  <c r="K6" i="1"/>
  <c r="N6" i="1" s="1"/>
  <c r="K7" i="1"/>
  <c r="M7" i="1" s="1"/>
  <c r="K8" i="1"/>
  <c r="M8" i="1" s="1"/>
  <c r="K9" i="1"/>
  <c r="N9" i="1" s="1"/>
  <c r="K10" i="1"/>
  <c r="N10" i="1" s="1"/>
  <c r="K11" i="1"/>
  <c r="M11" i="1" s="1"/>
  <c r="K12" i="1"/>
  <c r="M12" i="1" s="1"/>
  <c r="K13" i="1"/>
  <c r="N13" i="1" s="1"/>
  <c r="K14" i="1"/>
  <c r="N14" i="1" s="1"/>
  <c r="K15" i="1"/>
  <c r="M15" i="1" s="1"/>
  <c r="K16" i="1"/>
  <c r="M16" i="1" s="1"/>
  <c r="K17" i="1"/>
  <c r="N17" i="1" s="1"/>
  <c r="K18" i="1"/>
  <c r="N18" i="1" s="1"/>
  <c r="K19" i="1"/>
  <c r="M19" i="1" s="1"/>
  <c r="K20" i="1"/>
  <c r="M20" i="1" s="1"/>
  <c r="K21" i="1"/>
  <c r="N21" i="1" s="1"/>
  <c r="K22" i="1"/>
  <c r="N22" i="1" s="1"/>
  <c r="K23" i="1"/>
  <c r="M23" i="1" s="1"/>
  <c r="K24" i="1"/>
  <c r="M24" i="1" s="1"/>
  <c r="K25" i="1"/>
  <c r="N25" i="1" s="1"/>
  <c r="K26" i="1"/>
  <c r="N26" i="1" s="1"/>
  <c r="K27" i="1"/>
  <c r="M27" i="1" s="1"/>
  <c r="K28" i="1"/>
  <c r="M28" i="1" s="1"/>
  <c r="K29" i="1"/>
  <c r="N29" i="1" s="1"/>
  <c r="K30" i="1"/>
  <c r="N30" i="1" s="1"/>
  <c r="K31" i="1"/>
  <c r="M31" i="1" s="1"/>
  <c r="K32" i="1"/>
  <c r="M32" i="1" s="1"/>
  <c r="K33" i="1"/>
  <c r="N33" i="1" s="1"/>
  <c r="K34" i="1"/>
  <c r="N34" i="1" s="1"/>
  <c r="F16" i="2"/>
  <c r="G16" i="2"/>
  <c r="D16" i="2"/>
  <c r="E16" i="2" s="1"/>
  <c r="D6" i="2"/>
  <c r="H6" i="2"/>
  <c r="G6" i="2"/>
  <c r="F6" i="2"/>
  <c r="E6" i="2"/>
  <c r="J6" i="2" s="1"/>
  <c r="B10" i="2"/>
  <c r="R3" i="4"/>
  <c r="R4" i="4"/>
  <c r="R5" i="4"/>
  <c r="R6" i="4"/>
  <c r="R7" i="4"/>
  <c r="R8" i="4"/>
  <c r="R9" i="4"/>
  <c r="R10" i="4"/>
  <c r="P2" i="4"/>
  <c r="Q2" i="4"/>
  <c r="R2" i="4"/>
  <c r="Q3" i="4"/>
  <c r="Q4" i="4"/>
  <c r="Q5" i="4"/>
  <c r="Q6" i="4"/>
  <c r="Q7" i="4"/>
  <c r="Q8" i="4"/>
  <c r="Q9" i="4"/>
  <c r="Q10" i="4"/>
  <c r="P3" i="4"/>
  <c r="P4" i="4"/>
  <c r="P5" i="4"/>
  <c r="P6" i="4"/>
  <c r="P7" i="4"/>
  <c r="P8" i="4"/>
  <c r="P9" i="4"/>
  <c r="P10" i="4"/>
  <c r="K6" i="4"/>
  <c r="L6" i="4" s="1"/>
  <c r="J3" i="4"/>
  <c r="J4" i="4"/>
  <c r="J5" i="4"/>
  <c r="J6" i="4"/>
  <c r="J7" i="4"/>
  <c r="J8" i="4"/>
  <c r="J9" i="4"/>
  <c r="J10" i="4"/>
  <c r="J2" i="4"/>
  <c r="I10" i="4"/>
  <c r="H10" i="4"/>
  <c r="K10" i="4" s="1"/>
  <c r="L10" i="4" s="1"/>
  <c r="C10" i="4"/>
  <c r="D10" i="4"/>
  <c r="E10" i="4"/>
  <c r="F10" i="4"/>
  <c r="G10" i="4"/>
  <c r="I3" i="4"/>
  <c r="I4" i="4"/>
  <c r="I5" i="4"/>
  <c r="I6" i="4"/>
  <c r="I7" i="4"/>
  <c r="I8" i="4"/>
  <c r="I9" i="4"/>
  <c r="I2" i="4"/>
  <c r="H3" i="4"/>
  <c r="K3" i="4" s="1"/>
  <c r="L3" i="4" s="1"/>
  <c r="H4" i="4"/>
  <c r="K4" i="4" s="1"/>
  <c r="L4" i="4" s="1"/>
  <c r="H5" i="4"/>
  <c r="K5" i="4" s="1"/>
  <c r="L5" i="4" s="1"/>
  <c r="H6" i="4"/>
  <c r="H7" i="4"/>
  <c r="K7" i="4" s="1"/>
  <c r="L7" i="4" s="1"/>
  <c r="H8" i="4"/>
  <c r="K8" i="4" s="1"/>
  <c r="L8" i="4" s="1"/>
  <c r="H9" i="4"/>
  <c r="K9" i="4" s="1"/>
  <c r="L9" i="4" s="1"/>
  <c r="H2" i="4"/>
  <c r="K2" i="4" s="1"/>
  <c r="L2" i="4" s="1"/>
  <c r="C3" i="4"/>
  <c r="C4" i="4"/>
  <c r="C5" i="4"/>
  <c r="C6" i="4"/>
  <c r="C7" i="4"/>
  <c r="C8" i="4"/>
  <c r="C9" i="4"/>
  <c r="C2" i="4"/>
  <c r="G3" i="4"/>
  <c r="G4" i="4"/>
  <c r="G5" i="4"/>
  <c r="G6" i="4"/>
  <c r="G7" i="4"/>
  <c r="G8" i="4"/>
  <c r="G9" i="4"/>
  <c r="G2" i="4"/>
  <c r="F3" i="4"/>
  <c r="F4" i="4"/>
  <c r="F5" i="4"/>
  <c r="F6" i="4"/>
  <c r="F7" i="4"/>
  <c r="F8" i="4"/>
  <c r="F9" i="4"/>
  <c r="F2" i="4"/>
  <c r="E3" i="4"/>
  <c r="E4" i="4"/>
  <c r="E5" i="4"/>
  <c r="E6" i="4"/>
  <c r="E7" i="4"/>
  <c r="E8" i="4"/>
  <c r="E9" i="4"/>
  <c r="E2" i="4"/>
  <c r="D3" i="4"/>
  <c r="D4" i="4"/>
  <c r="D5" i="4"/>
  <c r="D6" i="4"/>
  <c r="D7" i="4"/>
  <c r="D8" i="4"/>
  <c r="D9" i="4"/>
  <c r="D2" i="4"/>
  <c r="B2" i="8"/>
  <c r="B3" i="8"/>
  <c r="B4" i="8"/>
  <c r="B5" i="8"/>
  <c r="B6" i="8"/>
  <c r="B7" i="8"/>
  <c r="B8" i="8"/>
  <c r="B9" i="8"/>
  <c r="B10" i="8"/>
  <c r="B11" i="8"/>
  <c r="B1" i="8"/>
  <c r="A2" i="8"/>
  <c r="A3" i="8"/>
  <c r="A4" i="8"/>
  <c r="A5" i="8"/>
  <c r="A6" i="8"/>
  <c r="A7" i="8"/>
  <c r="A8" i="8"/>
  <c r="A9" i="8"/>
  <c r="A10" i="8"/>
  <c r="A11" i="8"/>
  <c r="A1" i="8"/>
  <c r="D15" i="7"/>
  <c r="I5" i="7"/>
  <c r="H5" i="7"/>
  <c r="G5" i="7"/>
  <c r="F6" i="7"/>
  <c r="E6" i="7"/>
  <c r="E5" i="7"/>
  <c r="D5" i="7"/>
  <c r="F5" i="7"/>
  <c r="M33" i="1" l="1"/>
  <c r="M29" i="1"/>
  <c r="M25" i="1"/>
  <c r="M21" i="1"/>
  <c r="M17" i="1"/>
  <c r="M13" i="1"/>
  <c r="M9" i="1"/>
  <c r="M5" i="1"/>
  <c r="N32" i="1"/>
  <c r="N28" i="1"/>
  <c r="N24" i="1"/>
  <c r="N20" i="1"/>
  <c r="N16" i="1"/>
  <c r="N12" i="1"/>
  <c r="N8" i="1"/>
  <c r="O4" i="1"/>
  <c r="S4" i="1"/>
  <c r="T4" i="1" s="1"/>
  <c r="N4" i="1"/>
  <c r="N31" i="1"/>
  <c r="N27" i="1"/>
  <c r="N23" i="1"/>
  <c r="N19" i="1"/>
  <c r="N15" i="1"/>
  <c r="N11" i="1"/>
  <c r="N7" i="1"/>
  <c r="L6" i="2"/>
  <c r="K6" i="2"/>
  <c r="O9" i="4"/>
  <c r="M9" i="4"/>
  <c r="N9" i="4"/>
  <c r="N5" i="4"/>
  <c r="M5" i="4"/>
  <c r="O5" i="4"/>
  <c r="N10" i="4"/>
  <c r="M10" i="4"/>
  <c r="O10" i="4"/>
  <c r="M8" i="4"/>
  <c r="N8" i="4"/>
  <c r="O8" i="4"/>
  <c r="M4" i="4"/>
  <c r="O4" i="4"/>
  <c r="N4" i="4"/>
  <c r="O7" i="4"/>
  <c r="N7" i="4"/>
  <c r="M7" i="4"/>
  <c r="O3" i="4"/>
  <c r="M3" i="4"/>
  <c r="N3" i="4"/>
  <c r="O2" i="4"/>
  <c r="N2" i="4"/>
  <c r="M2" i="4"/>
  <c r="N6" i="4"/>
  <c r="M6" i="4"/>
  <c r="O6" i="4"/>
  <c r="J5" i="7"/>
  <c r="H17" i="6"/>
  <c r="H9" i="6"/>
  <c r="H7" i="6"/>
  <c r="H8" i="6"/>
  <c r="Y4" i="1" l="1"/>
  <c r="U4" i="1"/>
  <c r="K5" i="5"/>
  <c r="J5" i="5"/>
  <c r="I5" i="5"/>
  <c r="X4" i="1" l="1"/>
  <c r="W4" i="1"/>
  <c r="H18" i="6"/>
  <c r="N5" i="5"/>
  <c r="N11" i="5" s="1"/>
  <c r="M5" i="5"/>
  <c r="L5" i="5"/>
  <c r="H5" i="5"/>
  <c r="G6" i="5"/>
  <c r="G7" i="5"/>
  <c r="G8" i="5"/>
  <c r="G9" i="5"/>
  <c r="G5" i="5"/>
  <c r="F6" i="5"/>
  <c r="F5" i="5"/>
  <c r="E6" i="5"/>
  <c r="E7" i="5"/>
  <c r="E8" i="5"/>
  <c r="E9" i="5"/>
  <c r="E5" i="5"/>
  <c r="H16" i="5"/>
  <c r="D6" i="5"/>
  <c r="D7" i="5"/>
  <c r="D8" i="5"/>
  <c r="D9" i="5"/>
  <c r="D5" i="5"/>
  <c r="R5" i="3" l="1"/>
  <c r="R6" i="3"/>
  <c r="R7" i="3"/>
  <c r="R8" i="3"/>
  <c r="R4" i="3"/>
  <c r="Q4" i="3"/>
  <c r="N4" i="3"/>
  <c r="I4" i="3"/>
  <c r="H4" i="3"/>
  <c r="U14" i="3"/>
  <c r="Q8" i="3" l="1"/>
  <c r="J8" i="3"/>
  <c r="G8" i="3"/>
  <c r="Q7" i="3"/>
  <c r="J7" i="3"/>
  <c r="G7" i="3"/>
  <c r="Q6" i="3"/>
  <c r="P6" i="3"/>
  <c r="J6" i="3"/>
  <c r="G6" i="3"/>
  <c r="Q5" i="3"/>
  <c r="P5" i="3"/>
  <c r="P4" i="3"/>
  <c r="O4" i="3"/>
  <c r="G4" i="3"/>
  <c r="K4" i="3"/>
  <c r="M4" i="3"/>
  <c r="L4" i="3"/>
</calcChain>
</file>

<file path=xl/sharedStrings.xml><?xml version="1.0" encoding="utf-8"?>
<sst xmlns="http://schemas.openxmlformats.org/spreadsheetml/2006/main" count="471" uniqueCount="233">
  <si>
    <t>CONCATENATE(), TEXT(), LEFT(), RIGHT(), MID(), LEN(), TRIM(), UPPER(), LOWER(), PROPER(), REPT(), SUBSTITUTE(), FIND(), SEARCH()</t>
  </si>
  <si>
    <t>Text Functions</t>
  </si>
  <si>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</si>
  <si>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</si>
  <si>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</si>
  <si>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</si>
  <si>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</si>
  <si>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</si>
  <si>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</si>
  <si>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</si>
  <si>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</si>
  <si>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</si>
  <si>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750-67-8428</t>
  </si>
  <si>
    <t>A</t>
  </si>
  <si>
    <t>Trichy</t>
  </si>
  <si>
    <t>Member</t>
  </si>
  <si>
    <t>Female</t>
  </si>
  <si>
    <t>Health and beauty</t>
  </si>
  <si>
    <t>226-31-3081</t>
  </si>
  <si>
    <t>C</t>
  </si>
  <si>
    <t>Chennai</t>
  </si>
  <si>
    <t>Normal</t>
  </si>
  <si>
    <t>Electronic accessories</t>
  </si>
  <si>
    <t>631-41-3108</t>
  </si>
  <si>
    <t>Male</t>
  </si>
  <si>
    <t>Home and lifestyle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</si>
  <si>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</si>
  <si>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</si>
  <si>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</si>
  <si>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</si>
  <si>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</si>
  <si>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</si>
  <si>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</si>
  <si>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</si>
  <si>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</si>
  <si>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karur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</si>
  <si>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</si>
  <si>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</si>
  <si>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</si>
  <si>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</si>
  <si>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</si>
  <si>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</si>
  <si>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</si>
  <si>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</si>
  <si>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</si>
  <si>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</si>
  <si>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</si>
  <si>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</si>
  <si>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</si>
  <si>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</si>
  <si>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</si>
  <si>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</si>
  <si>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</si>
  <si>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</si>
  <si>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</si>
  <si>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</si>
  <si>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</si>
  <si>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</si>
  <si>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</si>
  <si>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TODAY(), NOW(), DATE(), TIME(), DATEDIF(), YEAR(), MONTH(), DAY(), HOUR(), MINUTE(), SECOND()</t>
  </si>
  <si>
    <t>Date and Time Functions</t>
  </si>
  <si>
    <t xml:space="preserve"> Health and beauty </t>
  </si>
  <si>
    <t>=TIME(2,30,30)</t>
  </si>
  <si>
    <t>=NOW()</t>
  </si>
  <si>
    <t>=TODAY()</t>
  </si>
  <si>
    <t>Value1</t>
  </si>
  <si>
    <t>Value2</t>
  </si>
  <si>
    <t>Category</t>
  </si>
  <si>
    <t>IF</t>
  </si>
  <si>
    <t>AND</t>
  </si>
  <si>
    <t>OR</t>
  </si>
  <si>
    <t>NOT</t>
  </si>
  <si>
    <t>IFERROR</t>
  </si>
  <si>
    <t>IFS</t>
  </si>
  <si>
    <t>SWITCH</t>
  </si>
  <si>
    <t>XOR</t>
  </si>
  <si>
    <t>FALSE</t>
  </si>
  <si>
    <t>TRUE</t>
  </si>
  <si>
    <t>SUMIF()</t>
  </si>
  <si>
    <t>Returns "Greater than 20" if Value1 &gt; 20, otherwise "Less or equal to 20"</t>
  </si>
  <si>
    <t>Returns TRUE if Value1 &gt; 10 and Value2 &lt; 30</t>
  </si>
  <si>
    <t>Returns TRUE if Value1 &gt; 10 or Value2 &lt; 30</t>
  </si>
  <si>
    <t>Returns TRUE if Value1 &gt; 10 AND Value2 &lt; 30</t>
  </si>
  <si>
    <t>Returns TRUE if Value1 is not greater than 15</t>
  </si>
  <si>
    <t>Returns "Error" if dividing Value1 by Value2 results in an error</t>
  </si>
  <si>
    <t>Evaluates multiple conditions and returns the corresponding value</t>
  </si>
  <si>
    <t>Returns corresponding category name based on Category value</t>
  </si>
  <si>
    <t>Returns TRUE if exactly one of the conditions is TRUE</t>
  </si>
  <si>
    <t>Returns the logical value FALSE</t>
  </si>
  <si>
    <t>Returns the logical value TRUE</t>
  </si>
  <si>
    <t>=IF(A2&gt;20, "Greater than 20", "Less or equal to 20")</t>
  </si>
  <si>
    <t>=AND(A2&gt;10, B2&lt;30)</t>
  </si>
  <si>
    <t>=OR(A3&gt;10, B3&lt;30)</t>
  </si>
  <si>
    <t>=AND(A4&gt;10, B4&lt;30)</t>
  </si>
  <si>
    <t>=NOT(a3&gt;15)</t>
  </si>
  <si>
    <t>=IFERROR(A3/A3, "Error")</t>
  </si>
  <si>
    <t>=IFS(D1&gt;30, "Above 30", D1&gt;20, "Above 20", D1&gt;10, "Above 10")</t>
  </si>
  <si>
    <t>=_xlfn.SWITCH(F6, "A", "Category A", "B", "Category B", "Unknown")</t>
  </si>
  <si>
    <t>=XOR(D1&gt;10, F5&lt;30)</t>
  </si>
  <si>
    <t>=FALSE()</t>
  </si>
  <si>
    <t>=TRUE()</t>
  </si>
  <si>
    <t>=IF(A4&gt;0,"A value is greater than zero", "A value is no greater")</t>
  </si>
  <si>
    <t>=SUMIF(C4:C8,"A",A4:A8)</t>
  </si>
  <si>
    <t>=SUMIFS(A4:A8,C4:C8,"A",B4:B8,0)</t>
  </si>
  <si>
    <t>Description</t>
  </si>
  <si>
    <t>Function Name</t>
  </si>
  <si>
    <t>=LEN(A2)</t>
  </si>
  <si>
    <t>rand()</t>
  </si>
  <si>
    <t>randbetween()</t>
  </si>
  <si>
    <t>AVERAGE(), MEDIAN(), MODE(), COUNT(), COUNTA(), COUNTIF(), COUNTIFS(), MAX(), MIN(), STDEV(), VAR()</t>
  </si>
  <si>
    <t>Statistical Functions</t>
  </si>
  <si>
    <t>VLOOKUP(), HLOOKUP(), LOOKUP()</t>
  </si>
  <si>
    <t xml:space="preserve">Lookup (V-Lookup and H-Lookup) </t>
  </si>
  <si>
    <t>=MEDIAN(A5:A9)</t>
  </si>
  <si>
    <t>=AVERAGE(A5:A9)</t>
  </si>
  <si>
    <t>=MODE(A5:A9)</t>
  </si>
  <si>
    <t>mode()</t>
  </si>
  <si>
    <t>asending order</t>
  </si>
  <si>
    <t>dataset original</t>
  </si>
  <si>
    <t xml:space="preserve"> after asending pick center value</t>
  </si>
  <si>
    <t>=COUNT(A5:A9)</t>
  </si>
  <si>
    <t>=COUNTA(C5:C9)</t>
  </si>
  <si>
    <t>=COUNTIF(C5:C9,"A")</t>
  </si>
  <si>
    <t>=COUNTIFS(C5:C9,"A",B5:B9,0)</t>
  </si>
  <si>
    <t>=MAX(B5:B9)</t>
  </si>
  <si>
    <t>=MIN(B5:B9)</t>
  </si>
  <si>
    <t>=STDEV(A5:A9)</t>
  </si>
  <si>
    <t>=VAR(A5:A9)</t>
  </si>
  <si>
    <t>value2</t>
  </si>
  <si>
    <t>fsd</t>
  </si>
  <si>
    <t>D</t>
  </si>
  <si>
    <t>E</t>
  </si>
  <si>
    <t>F</t>
  </si>
  <si>
    <t>Fees Pending</t>
  </si>
  <si>
    <t>=VLOOKUP(G7,A5:F26,2)</t>
  </si>
  <si>
    <t>=HLOOKUP(G7,A16:F26,2,)</t>
  </si>
  <si>
    <t>Exact Match (False)</t>
  </si>
  <si>
    <t>d</t>
  </si>
  <si>
    <t>=PRODUCT(A2:B2)</t>
  </si>
  <si>
    <t>=QUOTIENT(A2,B2)</t>
  </si>
  <si>
    <t>=MOD(A2,B2)</t>
  </si>
  <si>
    <t>=COUNT(A2:B2)</t>
  </si>
  <si>
    <t>=COUNTA(A2:B2)</t>
  </si>
  <si>
    <t>=POWER(A2,2)</t>
  </si>
  <si>
    <t>=SQRT(A2)</t>
  </si>
  <si>
    <t>Name</t>
  </si>
  <si>
    <t>Age</t>
  </si>
  <si>
    <t>John</t>
  </si>
  <si>
    <t>Sarah</t>
  </si>
  <si>
    <t>Mike</t>
  </si>
  <si>
    <t>Reference Functions</t>
  </si>
  <si>
    <t>=INDEX(B2:B4, 2)</t>
  </si>
  <si>
    <t>=MATCH("Sarah", A2:A4, 0)</t>
  </si>
  <si>
    <t>=INDIRECT("B2")</t>
  </si>
  <si>
    <t>=OFFSET(B2, 1, 0)</t>
  </si>
  <si>
    <t>=CHOOSE(2, "Red", "Green", "Blue")</t>
  </si>
  <si>
    <t>=ROW(A3)</t>
  </si>
  <si>
    <t>=COLUMN(B2)</t>
  </si>
  <si>
    <t>INDEX(), MATCH(), INDIRECT(), OFFSET(), CHOOSE(), ROW(), COLUMN()</t>
  </si>
  <si>
    <t>male</t>
  </si>
  <si>
    <t>=AVERAGE(A2:B2)</t>
  </si>
  <si>
    <t>=SUM(A2:B2)</t>
  </si>
  <si>
    <t>text</t>
  </si>
  <si>
    <t>=ROUND(L2,0)</t>
  </si>
  <si>
    <t>=CEILING(L2,1)</t>
  </si>
  <si>
    <t>=ROUNDUP(L2,0)</t>
  </si>
  <si>
    <t>=ROUNDDOWN(L2,0)</t>
  </si>
  <si>
    <t>=YEAR(E6)</t>
  </si>
  <si>
    <t>=MONTH(E6)</t>
  </si>
  <si>
    <t>=DAY(E6)</t>
  </si>
  <si>
    <t>=DATE(2022,7,22)</t>
  </si>
  <si>
    <t>=DATEDIF(D6,E6,"Y")</t>
  </si>
  <si>
    <t>=DATEDIF(D6,E6,"M")</t>
  </si>
  <si>
    <t>=DATEDIF(D6,E6,"D")</t>
  </si>
  <si>
    <t>=SECOND(D16)</t>
  </si>
  <si>
    <t>=MINUTE(D16)</t>
  </si>
  <si>
    <t>=HOUR(D16)</t>
  </si>
  <si>
    <t>=CONCATENATE(C4,"_",D4)</t>
  </si>
  <si>
    <t>=SEARCH("em",T4)</t>
  </si>
  <si>
    <t>=FIND("em",U4)</t>
  </si>
  <si>
    <t>=SUBSTITUTE(U4,"Trichy","Chennai")</t>
  </si>
  <si>
    <t>=REPT(P4,5)</t>
  </si>
  <si>
    <t>=PROPER(T4)</t>
  </si>
  <si>
    <t>=LOWER(S4)</t>
  </si>
  <si>
    <t>=UPPER(K4)</t>
  </si>
  <si>
    <t>=TRIM(F4)</t>
  </si>
  <si>
    <t>=LEN(F4)</t>
  </si>
  <si>
    <t>=MID(K4,5,8)</t>
  </si>
  <si>
    <t>=RIGHT(K4,6)</t>
  </si>
  <si>
    <t>=LEFT(K4,5)</t>
  </si>
  <si>
    <t>=TEXT(J4,"#,##0")
=TEXT(O9,"MM/DD/YYYY")</t>
  </si>
  <si>
    <t>Customer ID creation Randomly
=UPPER(CONCATENATE("CUST",LEFT(A4,2),"BR",B4,"LOC",LEFT(C4,3),RANDBETWEEN(1000,9999)))</t>
  </si>
  <si>
    <t>id</t>
  </si>
  <si>
    <t>name</t>
  </si>
  <si>
    <t>ragu</t>
  </si>
  <si>
    <t>ravi</t>
  </si>
  <si>
    <t>raju</t>
  </si>
  <si>
    <t>ram</t>
  </si>
  <si>
    <t>ragav</t>
  </si>
  <si>
    <t>fees</t>
  </si>
  <si>
    <t>course</t>
  </si>
  <si>
    <t>java</t>
  </si>
  <si>
    <t>python</t>
  </si>
  <si>
    <t>RegNo</t>
  </si>
  <si>
    <t>Student Name</t>
  </si>
  <si>
    <t>Location</t>
  </si>
  <si>
    <t>cc</t>
  </si>
  <si>
    <t>Paid</t>
  </si>
  <si>
    <t>Balance</t>
  </si>
  <si>
    <t>Arjun Kumar</t>
  </si>
  <si>
    <t>Priya Sharma</t>
  </si>
  <si>
    <t>Bangalore</t>
  </si>
  <si>
    <t>Rahul Verma</t>
  </si>
  <si>
    <t>Sneha Reddy</t>
  </si>
  <si>
    <t>Coimbatore</t>
  </si>
  <si>
    <t>Karthik Raj</t>
  </si>
  <si>
    <t>Ananya Singh</t>
  </si>
  <si>
    <t>Vishal Mehta</t>
  </si>
  <si>
    <t>Delhi</t>
  </si>
  <si>
    <t>Divya Nair</t>
  </si>
  <si>
    <t>Sanjay Patel</t>
  </si>
  <si>
    <t>Ahmedabad</t>
  </si>
  <si>
    <t>Meera Iyer</t>
  </si>
  <si>
    <t>Rohit Das</t>
  </si>
  <si>
    <t>Kavya Krishna</t>
  </si>
  <si>
    <t>Aditya Rao</t>
  </si>
  <si>
    <t>Lakshmi Priya</t>
  </si>
  <si>
    <t>Salem</t>
  </si>
  <si>
    <t>Naveen Kumar</t>
  </si>
  <si>
    <t>Tirunelveli</t>
  </si>
  <si>
    <t>Fees (₹)</t>
  </si>
  <si>
    <t>Paid (₹)</t>
  </si>
  <si>
    <t>Balance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</si>
</sst>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"/>
  </numFmts>
  <fonts count="5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0" fillId="2" borderId="1" xfId="0" applyFill="1" applyBorder="1"/>
    <xf numFmtId="14" fontId="0" fillId="0" borderId="0" xfId="0" applyNumberFormat="1"/>
    <xf numFmtId="22" fontId="0" fillId="0" borderId="0" xfId="0" applyNumberFormat="1"/>
    <xf numFmtId="18" fontId="0" fillId="0" borderId="0" xfId="0" applyNumberFormat="1"/>
    <xf numFmtId="0" fontId="0" fillId="0" borderId="0" xfId="0" quotePrefix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2" fillId="3" borderId="1" xfId="0" quotePrefix="1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/>
    <xf numFmtId="0" fontId="2" fillId="3" borderId="1" xfId="0" applyFont="1" applyFill="1" applyBorder="1" applyAlignment="1">
      <alignment vertical="center"/>
    </xf>
    <xf numFmtId="20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quotePrefix="1" applyAlignment="1">
      <alignment horizontal="center" vertical="center"/>
    </xf>
    <xf numFmtId="0" fontId="0" fillId="2" borderId="0" xfId="0" applyFill="1"/>
    <xf numFmtId="0" fontId="0" fillId="2" borderId="0" xfId="0" quotePrefix="1" applyFill="1"/>
    <xf numFmtId="0" fontId="0" fillId="0" borderId="2" xfId="0" quotePrefix="1" applyBorder="1"/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abSelected="1" workbookViewId="0">
      <selection activeCell="B7" sqref="B7"/>
    </sheetView>
  </sheetViews>
  <sheetFormatPr defaultRowHeight="15" x14ac:dyDescent="0.25"/>
  <cols>
    <col min="1" max="1" width="13.85546875" bestFit="1" customWidth="1"/>
    <col min="2" max="2" width="12" bestFit="1" customWidth="1"/>
    <col min="3" max="3" width="12.42578125" bestFit="1" customWidth="1"/>
    <col min="4" max="4" width="12.28515625" bestFit="1" customWidth="1"/>
    <col min="5" max="5" width="12.42578125" bestFit="1" customWidth="1"/>
    <col min="6" max="6" width="11.42578125" bestFit="1" customWidth="1"/>
    <col min="7" max="7" width="12.85546875" bestFit="1" customWidth="1"/>
    <col min="8" max="8" width="12.5703125" bestFit="1" customWidth="1"/>
    <col min="9" max="9" width="10" bestFit="1" customWidth="1"/>
    <col min="10" max="10" width="11.7109375" bestFit="1" customWidth="1"/>
    <col min="11" max="11" width="10.5703125" bestFit="1" customWidth="1"/>
    <col min="12" max="12" width="9.28515625" bestFit="1" customWidth="1"/>
    <col min="13" max="13" width="13.28515625" bestFit="1" customWidth="1"/>
    <col min="14" max="14" width="10.42578125" bestFit="1" customWidth="1"/>
    <col min="15" max="15" width="13.140625" bestFit="1" customWidth="1"/>
    <col min="16" max="16" width="14.140625" bestFit="1" customWidth="1"/>
  </cols>
  <sheetData>
    <row r="1" spans="1:16" x14ac:dyDescent="0.25">
      <c r="A1" s="28" t="s">
        <v>203</v>
      </c>
      <c r="B1" s="30">
        <v>101</v>
      </c>
      <c r="C1" s="30">
        <v>102</v>
      </c>
      <c r="D1" s="30">
        <v>102</v>
      </c>
      <c r="E1" s="30">
        <v>102</v>
      </c>
      <c r="F1" s="30">
        <v>105</v>
      </c>
      <c r="G1" s="30">
        <v>106</v>
      </c>
      <c r="H1" s="30">
        <v>107</v>
      </c>
      <c r="I1" s="30">
        <v>108</v>
      </c>
      <c r="J1" s="30">
        <v>109</v>
      </c>
      <c r="K1" s="30">
        <v>110</v>
      </c>
      <c r="L1" s="30">
        <v>111</v>
      </c>
      <c r="M1" s="30">
        <v>112</v>
      </c>
      <c r="N1" s="30">
        <v>113</v>
      </c>
      <c r="O1" s="30">
        <v>114</v>
      </c>
      <c r="P1" s="30">
        <v>115</v>
      </c>
    </row>
    <row r="2" spans="1:16" x14ac:dyDescent="0.25">
      <c r="A2" s="28" t="s">
        <v>204</v>
      </c>
      <c r="B2" s="30" t="s">
        <v>209</v>
      </c>
      <c r="C2" s="30" t="s">
        <v>210</v>
      </c>
      <c r="D2" s="30" t="s">
        <v>212</v>
      </c>
      <c r="E2" s="30" t="s">
        <v>213</v>
      </c>
      <c r="F2" s="30" t="s">
        <v>215</v>
      </c>
      <c r="G2" s="30" t="s">
        <v>216</v>
      </c>
      <c r="H2" s="30" t="s">
        <v>217</v>
      </c>
      <c r="I2" s="30" t="s">
        <v>219</v>
      </c>
      <c r="J2" s="30" t="s">
        <v>220</v>
      </c>
      <c r="K2" s="30" t="s">
        <v>222</v>
      </c>
      <c r="L2" s="30" t="s">
        <v>223</v>
      </c>
      <c r="M2" s="30" t="s">
        <v>224</v>
      </c>
      <c r="N2" s="30" t="s">
        <v>225</v>
      </c>
      <c r="O2" s="30" t="s">
        <v>226</v>
      </c>
      <c r="P2" s="30" t="s">
        <v>228</v>
      </c>
    </row>
    <row r="3" spans="1:16" x14ac:dyDescent="0.25">
      <c r="A3" s="28" t="s">
        <v>146</v>
      </c>
      <c r="B3" s="30">
        <v>19</v>
      </c>
      <c r="C3" s="30">
        <v>20</v>
      </c>
      <c r="D3" s="30">
        <v>18</v>
      </c>
      <c r="E3" s="30">
        <v>21</v>
      </c>
      <c r="F3" s="30">
        <v>19</v>
      </c>
      <c r="G3" s="30">
        <v>22</v>
      </c>
      <c r="H3" s="30">
        <v>20</v>
      </c>
      <c r="I3" s="30">
        <v>18</v>
      </c>
      <c r="J3" s="30">
        <v>21</v>
      </c>
      <c r="K3" s="30">
        <v>19</v>
      </c>
      <c r="L3" s="30">
        <v>23</v>
      </c>
      <c r="M3" s="30">
        <v>20</v>
      </c>
      <c r="N3" s="30">
        <v>22</v>
      </c>
      <c r="O3" s="30">
        <v>18</v>
      </c>
      <c r="P3" s="30">
        <v>21</v>
      </c>
    </row>
    <row r="4" spans="1:16" x14ac:dyDescent="0.25">
      <c r="A4" s="28" t="s">
        <v>205</v>
      </c>
      <c r="B4" s="30" t="s">
        <v>20</v>
      </c>
      <c r="C4" s="30" t="s">
        <v>211</v>
      </c>
      <c r="D4" s="30" t="s">
        <v>211</v>
      </c>
      <c r="E4" s="30" t="s">
        <v>214</v>
      </c>
      <c r="F4" s="30" t="s">
        <v>214</v>
      </c>
      <c r="G4" s="30" t="s">
        <v>214</v>
      </c>
      <c r="H4" s="30" t="s">
        <v>218</v>
      </c>
      <c r="I4" s="30" t="s">
        <v>211</v>
      </c>
      <c r="J4" s="30" t="s">
        <v>221</v>
      </c>
      <c r="K4" s="30" t="s">
        <v>14</v>
      </c>
      <c r="L4" s="30" t="s">
        <v>14</v>
      </c>
      <c r="M4" s="30" t="s">
        <v>14</v>
      </c>
      <c r="N4" s="30" t="s">
        <v>14</v>
      </c>
      <c r="O4" s="30" t="s">
        <v>227</v>
      </c>
      <c r="P4" s="30" t="s">
        <v>229</v>
      </c>
    </row>
    <row r="5" spans="1:16" x14ac:dyDescent="0.25">
      <c r="A5" s="28" t="s">
        <v>230</v>
      </c>
      <c r="B5" s="30">
        <v>50000</v>
      </c>
      <c r="C5" s="30">
        <v>55000</v>
      </c>
      <c r="D5" s="30">
        <v>48000</v>
      </c>
      <c r="E5" s="30">
        <v>52000</v>
      </c>
      <c r="F5" s="30">
        <v>47000</v>
      </c>
      <c r="G5" s="30">
        <v>60000</v>
      </c>
      <c r="H5" s="30">
        <v>58000</v>
      </c>
      <c r="I5" s="30">
        <v>45000</v>
      </c>
      <c r="J5" s="30">
        <v>53000</v>
      </c>
      <c r="K5" s="30">
        <v>49000</v>
      </c>
      <c r="L5" s="30">
        <v>61000</v>
      </c>
      <c r="M5" s="30">
        <v>52000</v>
      </c>
      <c r="N5" s="30">
        <v>57000</v>
      </c>
      <c r="O5" s="30">
        <v>46000</v>
      </c>
      <c r="P5" s="30">
        <v>54000</v>
      </c>
    </row>
    <row r="6" spans="1:16" x14ac:dyDescent="0.25">
      <c r="A6" s="28" t="s">
        <v>231</v>
      </c>
      <c r="B6" s="30">
        <v>30000</v>
      </c>
      <c r="C6" s="30">
        <v>55000</v>
      </c>
      <c r="D6" s="30">
        <v>20000</v>
      </c>
      <c r="E6" s="30">
        <v>40000</v>
      </c>
      <c r="F6" s="30">
        <v>47000</v>
      </c>
      <c r="G6" s="30">
        <v>35000</v>
      </c>
      <c r="H6" s="30">
        <v>30000</v>
      </c>
      <c r="I6" s="30">
        <v>45000</v>
      </c>
      <c r="J6" s="30">
        <v>25000</v>
      </c>
      <c r="K6" s="30">
        <v>49000</v>
      </c>
      <c r="L6" s="30">
        <v>40000</v>
      </c>
      <c r="M6" s="30">
        <v>30000</v>
      </c>
      <c r="N6" s="30">
        <v>20000</v>
      </c>
      <c r="O6" s="30">
        <v>30000</v>
      </c>
      <c r="P6" s="30">
        <v>54000</v>
      </c>
    </row>
    <row r="7" spans="1:16" x14ac:dyDescent="0.25">
      <c r="A7" s="28" t="s">
        <v>232</v>
      </c>
      <c r="B7" s="30">
        <v>20000</v>
      </c>
      <c r="C7" s="30">
        <v>0</v>
      </c>
      <c r="D7" s="30">
        <v>28000</v>
      </c>
      <c r="E7" s="30">
        <v>12000</v>
      </c>
      <c r="F7" s="30">
        <v>0</v>
      </c>
      <c r="G7" s="30">
        <v>25000</v>
      </c>
      <c r="H7" s="30">
        <v>28000</v>
      </c>
      <c r="I7" s="30">
        <v>0</v>
      </c>
      <c r="J7" s="30">
        <v>28000</v>
      </c>
      <c r="K7" s="30">
        <v>0</v>
      </c>
      <c r="L7" s="30">
        <v>21000</v>
      </c>
      <c r="M7" s="30">
        <v>22000</v>
      </c>
      <c r="N7" s="30">
        <v>37000</v>
      </c>
      <c r="O7" s="30">
        <v>16000</v>
      </c>
      <c r="P7" s="30">
        <v>0</v>
      </c>
    </row>
    <row r="17" spans="6:7" x14ac:dyDescent="0.25">
      <c r="F17" t="s">
        <v>209</v>
      </c>
      <c r="G17">
        <f>HLOOKUP(F17,B2:P7,6,FALSE)</f>
        <v>20000</v>
      </c>
    </row>
    <row r="18" spans="6:7" x14ac:dyDescent="0.25">
      <c r="F18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zoomScale="190" zoomScaleNormal="190" workbookViewId="0">
      <selection activeCell="K4" sqref="K4"/>
    </sheetView>
  </sheetViews>
  <sheetFormatPr defaultRowHeight="15" x14ac:dyDescent="0.25"/>
  <cols>
    <col min="1" max="1" width="6.85546875" bestFit="1" customWidth="1"/>
    <col min="2" max="2" width="13.85546875" bestFit="1" customWidth="1"/>
    <col min="3" max="3" width="4.42578125" bestFit="1" customWidth="1"/>
    <col min="4" max="4" width="11.42578125" bestFit="1" customWidth="1"/>
    <col min="5" max="5" width="8.140625" bestFit="1" customWidth="1"/>
    <col min="6" max="7" width="7.85546875" bestFit="1" customWidth="1"/>
    <col min="10" max="10" width="15.5703125" customWidth="1"/>
    <col min="11" max="11" width="16.5703125" customWidth="1"/>
  </cols>
  <sheetData>
    <row r="1" spans="1:11" x14ac:dyDescent="0.25">
      <c r="A1" s="37" t="s">
        <v>203</v>
      </c>
      <c r="B1" s="37" t="s">
        <v>204</v>
      </c>
      <c r="C1" s="37" t="s">
        <v>146</v>
      </c>
      <c r="D1" s="37" t="s">
        <v>205</v>
      </c>
      <c r="E1" s="37" t="s">
        <v>206</v>
      </c>
      <c r="F1" s="37" t="s">
        <v>207</v>
      </c>
      <c r="G1" s="37" t="s">
        <v>208</v>
      </c>
      <c r="K1">
        <f>MATCH("Paid",A1:G1)</f>
        <v>6</v>
      </c>
    </row>
    <row r="2" spans="1:11" x14ac:dyDescent="0.25">
      <c r="A2" s="27">
        <v>101</v>
      </c>
      <c r="B2" s="27" t="s">
        <v>209</v>
      </c>
      <c r="C2" s="27">
        <v>19</v>
      </c>
      <c r="D2" s="27" t="s">
        <v>20</v>
      </c>
      <c r="E2" s="27">
        <v>50000</v>
      </c>
      <c r="F2" s="27">
        <v>30000</v>
      </c>
      <c r="G2" s="27">
        <v>20000</v>
      </c>
    </row>
    <row r="3" spans="1:11" x14ac:dyDescent="0.25">
      <c r="A3" s="27">
        <v>102</v>
      </c>
      <c r="B3" s="27" t="s">
        <v>210</v>
      </c>
      <c r="C3" s="27">
        <v>20</v>
      </c>
      <c r="D3" s="27" t="s">
        <v>211</v>
      </c>
      <c r="E3" s="27">
        <v>55000</v>
      </c>
      <c r="F3" s="27">
        <v>55000</v>
      </c>
      <c r="G3" s="27">
        <v>0</v>
      </c>
    </row>
    <row r="4" spans="1:11" x14ac:dyDescent="0.25">
      <c r="A4" s="27">
        <v>102</v>
      </c>
      <c r="B4" s="27" t="s">
        <v>212</v>
      </c>
      <c r="C4" s="27">
        <v>18</v>
      </c>
      <c r="D4" s="27" t="s">
        <v>211</v>
      </c>
      <c r="E4" s="27">
        <v>48000</v>
      </c>
      <c r="F4" s="27">
        <v>20000</v>
      </c>
      <c r="G4" s="27">
        <v>28000</v>
      </c>
      <c r="J4" s="27" t="s">
        <v>209</v>
      </c>
      <c r="K4">
        <f>VLOOKUP(J4,B2:G16,MATCH(J10,A1:G1,),FALSE)</f>
        <v>30000</v>
      </c>
    </row>
    <row r="5" spans="1:11" x14ac:dyDescent="0.25">
      <c r="A5" s="27">
        <v>102</v>
      </c>
      <c r="B5" s="27" t="s">
        <v>213</v>
      </c>
      <c r="C5" s="27">
        <v>21</v>
      </c>
      <c r="D5" s="27" t="s">
        <v>214</v>
      </c>
      <c r="E5" s="27">
        <v>52000</v>
      </c>
      <c r="F5" s="27">
        <v>40000</v>
      </c>
      <c r="G5" s="27">
        <v>12000</v>
      </c>
      <c r="J5" s="27">
        <v>104</v>
      </c>
      <c r="K5">
        <f>VLOOKUP(105,A2:G16,7,FALSE)</f>
        <v>0</v>
      </c>
    </row>
    <row r="6" spans="1:11" x14ac:dyDescent="0.25">
      <c r="A6" s="27">
        <v>105</v>
      </c>
      <c r="B6" s="27" t="s">
        <v>215</v>
      </c>
      <c r="C6" s="27">
        <v>19</v>
      </c>
      <c r="D6" s="27" t="s">
        <v>214</v>
      </c>
      <c r="E6" s="27">
        <v>47000</v>
      </c>
      <c r="F6" s="27">
        <v>47000</v>
      </c>
      <c r="G6" s="27">
        <v>0</v>
      </c>
    </row>
    <row r="7" spans="1:11" x14ac:dyDescent="0.25">
      <c r="A7" s="27">
        <v>106</v>
      </c>
      <c r="B7" s="27" t="s">
        <v>216</v>
      </c>
      <c r="C7" s="27">
        <v>22</v>
      </c>
      <c r="D7" s="27" t="s">
        <v>214</v>
      </c>
      <c r="E7" s="27">
        <v>60000</v>
      </c>
      <c r="F7" s="27">
        <v>35000</v>
      </c>
      <c r="G7" s="27">
        <v>25000</v>
      </c>
    </row>
    <row r="8" spans="1:11" x14ac:dyDescent="0.25">
      <c r="A8" s="27">
        <v>107</v>
      </c>
      <c r="B8" s="27" t="s">
        <v>217</v>
      </c>
      <c r="C8" s="27">
        <v>20</v>
      </c>
      <c r="D8" s="27" t="s">
        <v>218</v>
      </c>
      <c r="E8" s="27">
        <v>58000</v>
      </c>
      <c r="F8" s="27">
        <v>30000</v>
      </c>
      <c r="G8" s="27">
        <v>28000</v>
      </c>
    </row>
    <row r="9" spans="1:11" x14ac:dyDescent="0.25">
      <c r="A9" s="27">
        <v>108</v>
      </c>
      <c r="B9" s="27" t="s">
        <v>219</v>
      </c>
      <c r="C9" s="27">
        <v>18</v>
      </c>
      <c r="D9" s="27" t="s">
        <v>211</v>
      </c>
      <c r="E9" s="27">
        <v>45000</v>
      </c>
      <c r="F9" s="27">
        <v>45000</v>
      </c>
      <c r="G9" s="27">
        <v>0</v>
      </c>
    </row>
    <row r="10" spans="1:11" ht="30" x14ac:dyDescent="0.25">
      <c r="A10" s="27">
        <v>109</v>
      </c>
      <c r="B10" s="27" t="s">
        <v>220</v>
      </c>
      <c r="C10" s="27">
        <v>21</v>
      </c>
      <c r="D10" s="27" t="s">
        <v>221</v>
      </c>
      <c r="E10" s="27">
        <v>53000</v>
      </c>
      <c r="F10" s="27">
        <v>25000</v>
      </c>
      <c r="G10" s="27">
        <v>28000</v>
      </c>
      <c r="J10" s="37" t="s">
        <v>206</v>
      </c>
    </row>
    <row r="11" spans="1:11" x14ac:dyDescent="0.25">
      <c r="A11" s="27">
        <v>110</v>
      </c>
      <c r="B11" s="27" t="s">
        <v>222</v>
      </c>
      <c r="C11" s="27">
        <v>19</v>
      </c>
      <c r="D11" s="27" t="s">
        <v>14</v>
      </c>
      <c r="E11" s="27">
        <v>49000</v>
      </c>
      <c r="F11" s="27">
        <v>49000</v>
      </c>
      <c r="G11" s="27">
        <v>0</v>
      </c>
    </row>
    <row r="12" spans="1:11" x14ac:dyDescent="0.25">
      <c r="A12" s="27">
        <v>111</v>
      </c>
      <c r="B12" s="27" t="s">
        <v>223</v>
      </c>
      <c r="C12" s="27">
        <v>23</v>
      </c>
      <c r="D12" s="27" t="s">
        <v>14</v>
      </c>
      <c r="E12" s="27">
        <v>61000</v>
      </c>
      <c r="F12" s="27">
        <v>40000</v>
      </c>
      <c r="G12" s="27">
        <v>21000</v>
      </c>
    </row>
    <row r="13" spans="1:11" x14ac:dyDescent="0.25">
      <c r="A13" s="27">
        <v>112</v>
      </c>
      <c r="B13" s="27" t="s">
        <v>224</v>
      </c>
      <c r="C13" s="27">
        <v>20</v>
      </c>
      <c r="D13" s="27" t="s">
        <v>14</v>
      </c>
      <c r="E13" s="27">
        <v>52000</v>
      </c>
      <c r="F13" s="27">
        <v>30000</v>
      </c>
      <c r="G13" s="27">
        <v>22000</v>
      </c>
    </row>
    <row r="14" spans="1:11" x14ac:dyDescent="0.25">
      <c r="A14" s="27">
        <v>113</v>
      </c>
      <c r="B14" s="27" t="s">
        <v>225</v>
      </c>
      <c r="C14" s="27">
        <v>22</v>
      </c>
      <c r="D14" s="27" t="s">
        <v>14</v>
      </c>
      <c r="E14" s="27">
        <v>57000</v>
      </c>
      <c r="F14" s="27">
        <v>20000</v>
      </c>
      <c r="G14" s="27">
        <v>37000</v>
      </c>
    </row>
    <row r="15" spans="1:11" x14ac:dyDescent="0.25">
      <c r="A15" s="27">
        <v>114</v>
      </c>
      <c r="B15" s="27" t="s">
        <v>226</v>
      </c>
      <c r="C15" s="27">
        <v>18</v>
      </c>
      <c r="D15" s="27" t="s">
        <v>227</v>
      </c>
      <c r="E15" s="27">
        <v>46000</v>
      </c>
      <c r="F15" s="27">
        <v>30000</v>
      </c>
      <c r="G15" s="27">
        <v>16000</v>
      </c>
    </row>
    <row r="16" spans="1:11" ht="30" x14ac:dyDescent="0.25">
      <c r="A16" s="27">
        <v>115</v>
      </c>
      <c r="B16" s="27" t="s">
        <v>228</v>
      </c>
      <c r="C16" s="27">
        <v>21</v>
      </c>
      <c r="D16" s="27" t="s">
        <v>229</v>
      </c>
      <c r="E16" s="27">
        <v>54000</v>
      </c>
      <c r="F16" s="27">
        <v>54000</v>
      </c>
      <c r="G16" s="2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3" sqref="C3"/>
    </sheetView>
  </sheetViews>
  <sheetFormatPr defaultRowHeight="15" x14ac:dyDescent="0.25"/>
  <cols>
    <col min="1" max="2" width="7.140625" bestFit="1" customWidth="1"/>
    <col min="3" max="3" width="12.42578125" bestFit="1" customWidth="1"/>
    <col min="4" max="4" width="17" bestFit="1" customWidth="1"/>
    <col min="5" max="5" width="17.85546875" bestFit="1" customWidth="1"/>
    <col min="6" max="6" width="12.85546875" bestFit="1" customWidth="1"/>
    <col min="7" max="7" width="16.85546875" bestFit="1" customWidth="1"/>
    <col min="8" max="8" width="14.85546875" bestFit="1" customWidth="1"/>
    <col min="9" max="9" width="16.140625" bestFit="1" customWidth="1"/>
    <col min="10" max="10" width="9" bestFit="1" customWidth="1"/>
    <col min="11" max="11" width="14" bestFit="1" customWidth="1"/>
    <col min="12" max="12" width="10.5703125" bestFit="1" customWidth="1"/>
    <col min="13" max="13" width="13.5703125" bestFit="1" customWidth="1"/>
    <col min="14" max="14" width="13.85546875" bestFit="1" customWidth="1"/>
    <col min="15" max="15" width="16" bestFit="1" customWidth="1"/>
    <col min="16" max="16" width="19.7109375" bestFit="1" customWidth="1"/>
    <col min="17" max="17" width="6.42578125" bestFit="1" customWidth="1"/>
    <col min="18" max="18" width="14.5703125" bestFit="1" customWidth="1"/>
  </cols>
  <sheetData>
    <row r="1" spans="1:18" x14ac:dyDescent="0.25">
      <c r="A1" s="31" t="s">
        <v>65</v>
      </c>
      <c r="B1" s="31" t="s">
        <v>66</v>
      </c>
      <c r="C1" s="23" t="s">
        <v>161</v>
      </c>
      <c r="D1" s="23" t="s">
        <v>138</v>
      </c>
      <c r="E1" s="23" t="s">
        <v>139</v>
      </c>
      <c r="F1" s="23" t="s">
        <v>140</v>
      </c>
      <c r="G1" s="23" t="s">
        <v>160</v>
      </c>
      <c r="H1" s="23" t="s">
        <v>141</v>
      </c>
      <c r="I1" s="23" t="s">
        <v>142</v>
      </c>
      <c r="J1" s="23" t="s">
        <v>106</v>
      </c>
      <c r="K1" s="23" t="s">
        <v>143</v>
      </c>
      <c r="L1" s="23" t="s">
        <v>144</v>
      </c>
      <c r="M1" s="23" t="s">
        <v>163</v>
      </c>
      <c r="N1" s="23" t="s">
        <v>164</v>
      </c>
      <c r="O1" s="23" t="s">
        <v>165</v>
      </c>
      <c r="P1" s="23" t="s">
        <v>166</v>
      </c>
      <c r="Q1" s="23" t="s">
        <v>107</v>
      </c>
      <c r="R1" s="21" t="s">
        <v>108</v>
      </c>
    </row>
    <row r="2" spans="1:18" x14ac:dyDescent="0.25">
      <c r="A2" s="32">
        <v>333</v>
      </c>
      <c r="B2" s="32">
        <v>0</v>
      </c>
      <c r="C2" s="21">
        <f>SUM(A2:B2)</f>
        <v>333</v>
      </c>
      <c r="D2" s="21">
        <f>PRODUCT(A2:B2)</f>
        <v>0</v>
      </c>
      <c r="E2" s="21" t="e">
        <f>QUOTIENT(A2,B2)</f>
        <v>#DIV/0!</v>
      </c>
      <c r="F2" s="21" t="e">
        <f>MOD(A2,B2)</f>
        <v>#DIV/0!</v>
      </c>
      <c r="G2" s="21">
        <f>AVERAGE(A2:B2)</f>
        <v>166.5</v>
      </c>
      <c r="H2" s="21">
        <f>COUNT(A2:B2)</f>
        <v>2</v>
      </c>
      <c r="I2" s="21">
        <f>COUNTA(A2:B2)</f>
        <v>2</v>
      </c>
      <c r="J2" s="21">
        <f>LEN(A2)</f>
        <v>3</v>
      </c>
      <c r="K2" s="21">
        <f>POWER(H2,J2)</f>
        <v>8</v>
      </c>
      <c r="L2" s="34">
        <f>SQRT(K2)</f>
        <v>2.8284271247461903</v>
      </c>
      <c r="M2" s="34">
        <f>ROUND(L2,0)</f>
        <v>3</v>
      </c>
      <c r="N2" s="21">
        <f>CEILING(L2,1)</f>
        <v>3</v>
      </c>
      <c r="O2" s="34">
        <f>ROUNDUP(L2,0)</f>
        <v>3</v>
      </c>
      <c r="P2" s="34">
        <f>ROUNDDOWN(L2,0)</f>
        <v>2</v>
      </c>
      <c r="Q2" s="21">
        <f ca="1">RAND()</f>
        <v>0.34995558823598472</v>
      </c>
      <c r="R2" s="21">
        <f ca="1">RANDBETWEEN(1000,9999)</f>
        <v>3838</v>
      </c>
    </row>
    <row r="3" spans="1:18" x14ac:dyDescent="0.25">
      <c r="A3" s="32">
        <v>11</v>
      </c>
      <c r="B3" s="32">
        <v>2</v>
      </c>
      <c r="C3" s="21">
        <f t="shared" ref="C3:C9" si="0">SUM(A3:B3)</f>
        <v>13</v>
      </c>
      <c r="D3" s="21">
        <f t="shared" ref="D3:D9" si="1">PRODUCT(A3:B3)</f>
        <v>22</v>
      </c>
      <c r="E3" s="21">
        <f t="shared" ref="E3:E9" si="2">QUOTIENT(A3,B3)</f>
        <v>5</v>
      </c>
      <c r="F3" s="21">
        <f t="shared" ref="F3:F9" si="3">MOD(A3,B3)</f>
        <v>1</v>
      </c>
      <c r="G3" s="21">
        <f t="shared" ref="G3:G9" si="4">AVERAGE(A3:B3)</f>
        <v>6.5</v>
      </c>
      <c r="H3" s="21">
        <f t="shared" ref="H3:H9" si="5">COUNT(A3:B3)</f>
        <v>2</v>
      </c>
      <c r="I3" s="21">
        <f t="shared" ref="I3:I10" si="6">COUNTA(A3:B3)</f>
        <v>2</v>
      </c>
      <c r="J3" s="21">
        <f t="shared" ref="J3:J10" si="7">LEN(A3)</f>
        <v>2</v>
      </c>
      <c r="K3" s="21">
        <f t="shared" ref="K3:K10" si="8">POWER(H3,J3)</f>
        <v>4</v>
      </c>
      <c r="L3" s="34">
        <f t="shared" ref="L3:L10" si="9">SQRT(K3)</f>
        <v>2</v>
      </c>
      <c r="M3" s="34">
        <f t="shared" ref="M3:M10" si="10">ROUND(L3,0)</f>
        <v>2</v>
      </c>
      <c r="N3" s="21">
        <f t="shared" ref="N3:N10" si="11">CEILING(L3,1)</f>
        <v>2</v>
      </c>
      <c r="O3" s="34">
        <f t="shared" ref="O3:O10" si="12">ROUNDUP(L3,0)</f>
        <v>2</v>
      </c>
      <c r="P3" s="34">
        <f t="shared" ref="P3:P10" si="13">ROUNDDOWN(L3,0)</f>
        <v>2</v>
      </c>
      <c r="Q3" s="21">
        <f t="shared" ref="Q3:Q10" ca="1" si="14">RAND()</f>
        <v>0.20688850921956303</v>
      </c>
      <c r="R3" s="21">
        <f ca="1">RANDBETWEEN(1000,9999)</f>
        <v>9953</v>
      </c>
    </row>
    <row r="4" spans="1:18" x14ac:dyDescent="0.25">
      <c r="A4" s="32">
        <v>333</v>
      </c>
      <c r="B4" s="32">
        <v>0</v>
      </c>
      <c r="C4" s="21">
        <f t="shared" si="0"/>
        <v>333</v>
      </c>
      <c r="D4" s="21">
        <f t="shared" si="1"/>
        <v>0</v>
      </c>
      <c r="E4" s="21" t="e">
        <f t="shared" si="2"/>
        <v>#DIV/0!</v>
      </c>
      <c r="F4" s="21" t="e">
        <f t="shared" si="3"/>
        <v>#DIV/0!</v>
      </c>
      <c r="G4" s="21">
        <f t="shared" si="4"/>
        <v>166.5</v>
      </c>
      <c r="H4" s="21">
        <f t="shared" si="5"/>
        <v>2</v>
      </c>
      <c r="I4" s="21">
        <f t="shared" si="6"/>
        <v>2</v>
      </c>
      <c r="J4" s="21">
        <f t="shared" si="7"/>
        <v>3</v>
      </c>
      <c r="K4" s="21">
        <f t="shared" si="8"/>
        <v>8</v>
      </c>
      <c r="L4" s="34">
        <f t="shared" si="9"/>
        <v>2.8284271247461903</v>
      </c>
      <c r="M4" s="34">
        <f t="shared" si="10"/>
        <v>3</v>
      </c>
      <c r="N4" s="21">
        <f t="shared" si="11"/>
        <v>3</v>
      </c>
      <c r="O4" s="34">
        <f t="shared" si="12"/>
        <v>3</v>
      </c>
      <c r="P4" s="34">
        <f t="shared" si="13"/>
        <v>2</v>
      </c>
      <c r="Q4" s="21">
        <f t="shared" ca="1" si="14"/>
        <v>0.382879304507873</v>
      </c>
      <c r="R4" s="21">
        <f t="shared" ref="R4:R10" ca="1" si="15">RANDBETWEEN(1000,9999)</f>
        <v>6934</v>
      </c>
    </row>
    <row r="5" spans="1:18" x14ac:dyDescent="0.25">
      <c r="A5" s="32">
        <v>333</v>
      </c>
      <c r="B5" s="32">
        <v>45</v>
      </c>
      <c r="C5" s="21">
        <f t="shared" si="0"/>
        <v>378</v>
      </c>
      <c r="D5" s="21">
        <f t="shared" si="1"/>
        <v>14985</v>
      </c>
      <c r="E5" s="21">
        <f t="shared" si="2"/>
        <v>7</v>
      </c>
      <c r="F5" s="21">
        <f t="shared" si="3"/>
        <v>18</v>
      </c>
      <c r="G5" s="21">
        <f t="shared" si="4"/>
        <v>189</v>
      </c>
      <c r="H5" s="21">
        <f t="shared" si="5"/>
        <v>2</v>
      </c>
      <c r="I5" s="21">
        <f t="shared" si="6"/>
        <v>2</v>
      </c>
      <c r="J5" s="21">
        <f t="shared" si="7"/>
        <v>3</v>
      </c>
      <c r="K5" s="21">
        <f t="shared" si="8"/>
        <v>8</v>
      </c>
      <c r="L5" s="34">
        <f t="shared" si="9"/>
        <v>2.8284271247461903</v>
      </c>
      <c r="M5" s="34">
        <f t="shared" si="10"/>
        <v>3</v>
      </c>
      <c r="N5" s="21">
        <f t="shared" si="11"/>
        <v>3</v>
      </c>
      <c r="O5" s="34">
        <f t="shared" si="12"/>
        <v>3</v>
      </c>
      <c r="P5" s="34">
        <f t="shared" si="13"/>
        <v>2</v>
      </c>
      <c r="Q5" s="21">
        <f t="shared" ca="1" si="14"/>
        <v>0.45051492167902696</v>
      </c>
      <c r="R5" s="21">
        <f t="shared" ca="1" si="15"/>
        <v>4671</v>
      </c>
    </row>
    <row r="6" spans="1:18" x14ac:dyDescent="0.25">
      <c r="A6" s="32">
        <v>333</v>
      </c>
      <c r="B6" s="32">
        <v>55</v>
      </c>
      <c r="C6" s="21">
        <f t="shared" si="0"/>
        <v>388</v>
      </c>
      <c r="D6" s="21">
        <f t="shared" si="1"/>
        <v>18315</v>
      </c>
      <c r="E6" s="21">
        <f t="shared" si="2"/>
        <v>6</v>
      </c>
      <c r="F6" s="21">
        <f t="shared" si="3"/>
        <v>3</v>
      </c>
      <c r="G6" s="21">
        <f t="shared" si="4"/>
        <v>194</v>
      </c>
      <c r="H6" s="21">
        <f t="shared" si="5"/>
        <v>2</v>
      </c>
      <c r="I6" s="21">
        <f t="shared" si="6"/>
        <v>2</v>
      </c>
      <c r="J6" s="21">
        <f t="shared" si="7"/>
        <v>3</v>
      </c>
      <c r="K6" s="21">
        <f t="shared" si="8"/>
        <v>8</v>
      </c>
      <c r="L6" s="34">
        <f t="shared" si="9"/>
        <v>2.8284271247461903</v>
      </c>
      <c r="M6" s="34">
        <f t="shared" si="10"/>
        <v>3</v>
      </c>
      <c r="N6" s="21">
        <f t="shared" si="11"/>
        <v>3</v>
      </c>
      <c r="O6" s="34">
        <f t="shared" si="12"/>
        <v>3</v>
      </c>
      <c r="P6" s="34">
        <f t="shared" si="13"/>
        <v>2</v>
      </c>
      <c r="Q6" s="21">
        <f t="shared" ca="1" si="14"/>
        <v>0.31399391525938747</v>
      </c>
      <c r="R6" s="21">
        <f t="shared" ca="1" si="15"/>
        <v>8224</v>
      </c>
    </row>
    <row r="7" spans="1:18" x14ac:dyDescent="0.25">
      <c r="A7" s="32">
        <v>333</v>
      </c>
      <c r="B7" s="32">
        <v>65</v>
      </c>
      <c r="C7" s="21">
        <f t="shared" si="0"/>
        <v>398</v>
      </c>
      <c r="D7" s="21">
        <f t="shared" si="1"/>
        <v>21645</v>
      </c>
      <c r="E7" s="21">
        <f t="shared" si="2"/>
        <v>5</v>
      </c>
      <c r="F7" s="21">
        <f t="shared" si="3"/>
        <v>8</v>
      </c>
      <c r="G7" s="21">
        <f t="shared" si="4"/>
        <v>199</v>
      </c>
      <c r="H7" s="21">
        <f t="shared" si="5"/>
        <v>2</v>
      </c>
      <c r="I7" s="21">
        <f t="shared" si="6"/>
        <v>2</v>
      </c>
      <c r="J7" s="21">
        <f t="shared" si="7"/>
        <v>3</v>
      </c>
      <c r="K7" s="21">
        <f t="shared" si="8"/>
        <v>8</v>
      </c>
      <c r="L7" s="34">
        <f t="shared" si="9"/>
        <v>2.8284271247461903</v>
      </c>
      <c r="M7" s="34">
        <f t="shared" si="10"/>
        <v>3</v>
      </c>
      <c r="N7" s="21">
        <f t="shared" si="11"/>
        <v>3</v>
      </c>
      <c r="O7" s="34">
        <f t="shared" si="12"/>
        <v>3</v>
      </c>
      <c r="P7" s="34">
        <f t="shared" si="13"/>
        <v>2</v>
      </c>
      <c r="Q7" s="21">
        <f t="shared" ca="1" si="14"/>
        <v>2.7709531483813832E-3</v>
      </c>
      <c r="R7" s="21">
        <f t="shared" ca="1" si="15"/>
        <v>6065</v>
      </c>
    </row>
    <row r="8" spans="1:18" x14ac:dyDescent="0.25">
      <c r="A8" s="32">
        <v>333</v>
      </c>
      <c r="B8" s="32">
        <v>75</v>
      </c>
      <c r="C8" s="21">
        <f t="shared" si="0"/>
        <v>408</v>
      </c>
      <c r="D8" s="21">
        <f t="shared" si="1"/>
        <v>24975</v>
      </c>
      <c r="E8" s="21">
        <f t="shared" si="2"/>
        <v>4</v>
      </c>
      <c r="F8" s="21">
        <f t="shared" si="3"/>
        <v>33</v>
      </c>
      <c r="G8" s="21">
        <f t="shared" si="4"/>
        <v>204</v>
      </c>
      <c r="H8" s="21">
        <f t="shared" si="5"/>
        <v>2</v>
      </c>
      <c r="I8" s="21">
        <f t="shared" si="6"/>
        <v>2</v>
      </c>
      <c r="J8" s="21">
        <f t="shared" si="7"/>
        <v>3</v>
      </c>
      <c r="K8" s="21">
        <f t="shared" si="8"/>
        <v>8</v>
      </c>
      <c r="L8" s="34">
        <f t="shared" si="9"/>
        <v>2.8284271247461903</v>
      </c>
      <c r="M8" s="34">
        <f t="shared" si="10"/>
        <v>3</v>
      </c>
      <c r="N8" s="21">
        <f t="shared" si="11"/>
        <v>3</v>
      </c>
      <c r="O8" s="34">
        <f t="shared" si="12"/>
        <v>3</v>
      </c>
      <c r="P8" s="34">
        <f t="shared" si="13"/>
        <v>2</v>
      </c>
      <c r="Q8" s="21">
        <f t="shared" ca="1" si="14"/>
        <v>0.38990190176643946</v>
      </c>
      <c r="R8" s="21">
        <f t="shared" ca="1" si="15"/>
        <v>7650</v>
      </c>
    </row>
    <row r="9" spans="1:18" x14ac:dyDescent="0.25">
      <c r="A9" s="32">
        <v>333</v>
      </c>
      <c r="B9" s="32">
        <v>85</v>
      </c>
      <c r="C9" s="21">
        <f t="shared" si="0"/>
        <v>418</v>
      </c>
      <c r="D9" s="21">
        <f t="shared" si="1"/>
        <v>28305</v>
      </c>
      <c r="E9" s="21">
        <f t="shared" si="2"/>
        <v>3</v>
      </c>
      <c r="F9" s="21">
        <f t="shared" si="3"/>
        <v>78</v>
      </c>
      <c r="G9" s="21">
        <f t="shared" si="4"/>
        <v>209</v>
      </c>
      <c r="H9" s="21">
        <f t="shared" si="5"/>
        <v>2</v>
      </c>
      <c r="I9" s="21">
        <f t="shared" si="6"/>
        <v>2</v>
      </c>
      <c r="J9" s="21">
        <f t="shared" si="7"/>
        <v>3</v>
      </c>
      <c r="K9" s="21">
        <f t="shared" si="8"/>
        <v>8</v>
      </c>
      <c r="L9" s="34">
        <f t="shared" si="9"/>
        <v>2.8284271247461903</v>
      </c>
      <c r="M9" s="34">
        <f t="shared" si="10"/>
        <v>3</v>
      </c>
      <c r="N9" s="21">
        <f t="shared" si="11"/>
        <v>3</v>
      </c>
      <c r="O9" s="34">
        <f t="shared" si="12"/>
        <v>3</v>
      </c>
      <c r="P9" s="34">
        <f t="shared" si="13"/>
        <v>2</v>
      </c>
      <c r="Q9" s="21">
        <f t="shared" ca="1" si="14"/>
        <v>0.63928787831614808</v>
      </c>
      <c r="R9" s="21">
        <f t="shared" ca="1" si="15"/>
        <v>6435</v>
      </c>
    </row>
    <row r="10" spans="1:18" x14ac:dyDescent="0.25">
      <c r="A10" s="21" t="s">
        <v>162</v>
      </c>
      <c r="B10" s="33">
        <v>22</v>
      </c>
      <c r="C10" s="21">
        <f t="shared" ref="C10" si="16">SUM(A10:B10)</f>
        <v>22</v>
      </c>
      <c r="D10" s="21">
        <f t="shared" ref="D10" si="17">PRODUCT(A10:B10)</f>
        <v>22</v>
      </c>
      <c r="E10" s="21" t="e">
        <f t="shared" ref="E10" si="18">QUOTIENT(A10,B10)</f>
        <v>#VALUE!</v>
      </c>
      <c r="F10" s="21" t="e">
        <f t="shared" ref="F10" si="19">MOD(A10,B10)</f>
        <v>#VALUE!</v>
      </c>
      <c r="G10" s="21">
        <f t="shared" ref="G10" si="20">AVERAGE(A10:B10)</f>
        <v>22</v>
      </c>
      <c r="H10" s="21">
        <f>COUNT(A10:B10)</f>
        <v>1</v>
      </c>
      <c r="I10" s="21">
        <f t="shared" si="6"/>
        <v>2</v>
      </c>
      <c r="J10" s="21">
        <f t="shared" si="7"/>
        <v>4</v>
      </c>
      <c r="K10" s="21">
        <f t="shared" si="8"/>
        <v>1</v>
      </c>
      <c r="L10" s="34">
        <f t="shared" si="9"/>
        <v>1</v>
      </c>
      <c r="M10" s="34">
        <f t="shared" si="10"/>
        <v>1</v>
      </c>
      <c r="N10" s="21">
        <f t="shared" si="11"/>
        <v>1</v>
      </c>
      <c r="O10" s="34">
        <f t="shared" si="12"/>
        <v>1</v>
      </c>
      <c r="P10" s="34">
        <f t="shared" si="13"/>
        <v>1</v>
      </c>
      <c r="Q10" s="21">
        <f t="shared" ca="1" si="14"/>
        <v>2.1642461985010408E-2</v>
      </c>
      <c r="R10" s="21">
        <f t="shared" ca="1" si="15"/>
        <v>1688</v>
      </c>
    </row>
    <row r="13" spans="1:18" x14ac:dyDescent="0.25">
      <c r="R13" s="21"/>
    </row>
    <row r="14" spans="1:18" x14ac:dyDescent="0.25">
      <c r="R14" s="21"/>
    </row>
    <row r="15" spans="1:18" x14ac:dyDescent="0.25">
      <c r="R15" s="21"/>
    </row>
    <row r="16" spans="1:18" x14ac:dyDescent="0.25">
      <c r="R16" s="21"/>
    </row>
    <row r="17" spans="18:18" x14ac:dyDescent="0.25">
      <c r="R17" s="21"/>
    </row>
    <row r="18" spans="18:18" x14ac:dyDescent="0.25">
      <c r="R18" s="21"/>
    </row>
    <row r="19" spans="18:18" x14ac:dyDescent="0.25">
      <c r="R19" s="21"/>
    </row>
    <row r="20" spans="18:18" x14ac:dyDescent="0.25">
      <c r="R20" s="21"/>
    </row>
    <row r="21" spans="18:18" x14ac:dyDescent="0.25">
      <c r="R21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workbookViewId="0">
      <selection activeCell="J16" sqref="J16"/>
    </sheetView>
  </sheetViews>
  <sheetFormatPr defaultRowHeight="15" x14ac:dyDescent="0.25"/>
  <cols>
    <col min="2" max="2" width="15.5703125" bestFit="1" customWidth="1"/>
    <col min="3" max="3" width="16.42578125" bestFit="1" customWidth="1"/>
    <col min="4" max="4" width="16.28515625" bestFit="1" customWidth="1"/>
    <col min="5" max="5" width="11.85546875" bestFit="1" customWidth="1"/>
    <col min="6" max="6" width="13.85546875" bestFit="1" customWidth="1"/>
    <col min="7" max="7" width="14.140625" bestFit="1" customWidth="1"/>
    <col min="8" max="8" width="9" bestFit="1" customWidth="1"/>
    <col min="9" max="9" width="9.28515625" bestFit="1" customWidth="1"/>
    <col min="10" max="10" width="19.28515625" bestFit="1" customWidth="1"/>
    <col min="11" max="11" width="20" bestFit="1" customWidth="1"/>
    <col min="12" max="12" width="19.5703125" bestFit="1" customWidth="1"/>
    <col min="13" max="13" width="19.28515625" bestFit="1" customWidth="1"/>
    <col min="14" max="15" width="12.28515625" bestFit="1" customWidth="1"/>
  </cols>
  <sheetData>
    <row r="1" spans="1:26" ht="28.5" x14ac:dyDescent="0.45">
      <c r="A1" s="39" t="s">
        <v>60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1"/>
      <c r="V1" s="1"/>
      <c r="W1" s="1"/>
      <c r="X1" s="1"/>
      <c r="Y1" s="1"/>
      <c r="Z1" s="1"/>
    </row>
    <row r="2" spans="1:26" ht="96" customHeight="1" x14ac:dyDescent="0.25">
      <c r="A2" s="2"/>
      <c r="B2" s="2"/>
      <c r="C2" s="2"/>
      <c r="D2" s="2"/>
      <c r="E2" s="2"/>
      <c r="F2" s="2"/>
      <c r="G2" s="38" t="s">
        <v>59</v>
      </c>
      <c r="H2" s="38"/>
      <c r="I2" s="38"/>
      <c r="J2" s="38"/>
      <c r="K2" s="38"/>
      <c r="L2" s="38"/>
      <c r="M2" s="38"/>
      <c r="N2" s="38"/>
      <c r="O2" s="2"/>
      <c r="P2" s="2"/>
      <c r="Q2" s="2"/>
      <c r="R2" s="2"/>
      <c r="S2" s="2"/>
      <c r="T2" s="2"/>
    </row>
    <row r="4" spans="1:26" x14ac:dyDescent="0.25">
      <c r="D4" s="6" t="s">
        <v>170</v>
      </c>
      <c r="E4" s="6" t="s">
        <v>64</v>
      </c>
      <c r="F4" s="6" t="s">
        <v>167</v>
      </c>
      <c r="G4" s="6" t="s">
        <v>168</v>
      </c>
      <c r="H4" s="6" t="s">
        <v>169</v>
      </c>
      <c r="J4" s="6" t="s">
        <v>171</v>
      </c>
      <c r="K4" s="6" t="s">
        <v>172</v>
      </c>
      <c r="L4" s="6" t="s">
        <v>173</v>
      </c>
    </row>
    <row r="5" spans="1:26" x14ac:dyDescent="0.25">
      <c r="D5" s="4"/>
      <c r="E5" s="3"/>
    </row>
    <row r="6" spans="1:26" x14ac:dyDescent="0.25">
      <c r="D6" s="3">
        <f>DATE(2022,7,22)</f>
        <v>44764</v>
      </c>
      <c r="E6" s="3">
        <f ca="1">TODAY()</f>
        <v>46086</v>
      </c>
      <c r="F6">
        <f>YEAR(D6)</f>
        <v>2022</v>
      </c>
      <c r="G6">
        <f>MONTH(D6)</f>
        <v>7</v>
      </c>
      <c r="H6">
        <f>DAY(D6)</f>
        <v>22</v>
      </c>
      <c r="J6">
        <f ca="1">DATEDIF(D6,E6,"Y")</f>
        <v>3</v>
      </c>
      <c r="K6">
        <f ca="1">DATEDIF(D6,E6,"M")</f>
        <v>43</v>
      </c>
      <c r="L6">
        <f ca="1">DATEDIF(D6,E6,"D")</f>
        <v>1322</v>
      </c>
    </row>
    <row r="7" spans="1:26" x14ac:dyDescent="0.25">
      <c r="D7" s="3"/>
      <c r="E7" s="4"/>
    </row>
    <row r="9" spans="1:26" x14ac:dyDescent="0.25">
      <c r="B9" s="6" t="s">
        <v>63</v>
      </c>
      <c r="I9" s="20"/>
      <c r="L9" s="3"/>
      <c r="N9" s="3"/>
    </row>
    <row r="10" spans="1:26" x14ac:dyDescent="0.25">
      <c r="B10" s="4">
        <f ca="1">NOW()</f>
        <v>46086.53264675926</v>
      </c>
      <c r="D10" s="3"/>
      <c r="I10" s="20"/>
      <c r="L10" s="3"/>
      <c r="N10" s="3"/>
    </row>
    <row r="11" spans="1:26" x14ac:dyDescent="0.25">
      <c r="D11" s="4"/>
      <c r="I11" s="20"/>
      <c r="L11" s="3"/>
      <c r="N11" s="3"/>
    </row>
    <row r="12" spans="1:26" x14ac:dyDescent="0.25">
      <c r="I12" s="20"/>
      <c r="L12" s="3"/>
      <c r="N12" s="3"/>
    </row>
    <row r="13" spans="1:26" x14ac:dyDescent="0.25">
      <c r="E13" s="19"/>
      <c r="G13" s="4"/>
      <c r="I13" s="20"/>
      <c r="L13" s="3"/>
      <c r="N13" s="3"/>
    </row>
    <row r="14" spans="1:26" x14ac:dyDescent="0.25">
      <c r="D14" s="6" t="s">
        <v>62</v>
      </c>
      <c r="E14" s="6" t="s">
        <v>176</v>
      </c>
      <c r="F14" s="6" t="s">
        <v>175</v>
      </c>
      <c r="G14" s="6" t="s">
        <v>174</v>
      </c>
      <c r="I14" s="20"/>
      <c r="L14" s="3"/>
      <c r="N14" s="3"/>
    </row>
    <row r="15" spans="1:26" x14ac:dyDescent="0.25">
      <c r="E15" s="3"/>
      <c r="G15" s="4"/>
      <c r="I15" s="20"/>
      <c r="L15" s="3"/>
      <c r="N15" s="3"/>
    </row>
    <row r="16" spans="1:26" x14ac:dyDescent="0.25">
      <c r="D16" s="5">
        <f>TIME(2,30,30)</f>
        <v>0.10451388888888889</v>
      </c>
      <c r="E16" s="20">
        <f>HOUR(D16)</f>
        <v>2</v>
      </c>
      <c r="F16" s="20">
        <f>MINUTE(D16)</f>
        <v>30</v>
      </c>
      <c r="G16" s="20">
        <f>SECOND(D16)</f>
        <v>30</v>
      </c>
      <c r="I16" s="20"/>
      <c r="L16" s="3"/>
      <c r="N16" s="3"/>
    </row>
    <row r="17" spans="5:14" x14ac:dyDescent="0.25">
      <c r="I17" s="20"/>
      <c r="L17" s="3"/>
      <c r="N17" s="3"/>
    </row>
    <row r="18" spans="5:14" x14ac:dyDescent="0.25">
      <c r="E18" s="3"/>
      <c r="I18" s="20"/>
      <c r="L18" s="3"/>
      <c r="N18" s="3"/>
    </row>
    <row r="19" spans="5:14" x14ac:dyDescent="0.25">
      <c r="E19" s="19"/>
    </row>
    <row r="20" spans="5:14" x14ac:dyDescent="0.25">
      <c r="E20" s="19"/>
    </row>
  </sheetData>
  <mergeCells count="2">
    <mergeCell ref="G2:N2"/>
    <mergeCell ref="A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workbookViewId="0">
      <pane xSplit="6" ySplit="3" topLeftCell="O4" activePane="bottomRight" state="frozen"/>
      <selection pane="topRight" activeCell="G1" sqref="G1"/>
      <selection pane="bottomLeft" activeCell="A4" sqref="A4"/>
      <selection pane="bottomRight" activeCell="R6" sqref="R6"/>
    </sheetView>
  </sheetViews>
  <sheetFormatPr defaultRowHeight="15" x14ac:dyDescent="0.25"/>
  <cols>
    <col min="1" max="1" width="11.42578125" bestFit="1" customWidth="1"/>
    <col min="2" max="2" width="7" bestFit="1" customWidth="1"/>
    <col min="3" max="3" width="8.28515625" bestFit="1" customWidth="1"/>
    <col min="4" max="4" width="14.140625" bestFit="1" customWidth="1"/>
    <col min="5" max="5" width="7.5703125" bestFit="1" customWidth="1"/>
    <col min="6" max="6" width="20.42578125" bestFit="1" customWidth="1"/>
    <col min="7" max="7" width="9.5703125" bestFit="1" customWidth="1"/>
    <col min="8" max="8" width="8.7109375" bestFit="1" customWidth="1"/>
    <col min="9" max="9" width="8" bestFit="1" customWidth="1"/>
    <col min="10" max="10" width="9" bestFit="1" customWidth="1"/>
    <col min="11" max="11" width="25.28515625" bestFit="1" customWidth="1"/>
    <col min="12" max="12" width="24.42578125" bestFit="1" customWidth="1"/>
    <col min="13" max="13" width="11" bestFit="1" customWidth="1"/>
    <col min="14" max="14" width="12.42578125" bestFit="1" customWidth="1"/>
    <col min="15" max="15" width="12.28515625" bestFit="1" customWidth="1"/>
    <col min="16" max="16" width="8.7109375" bestFit="1" customWidth="1"/>
    <col min="17" max="17" width="17.42578125" bestFit="1" customWidth="1"/>
    <col min="18" max="18" width="15.85546875" customWidth="1"/>
    <col min="19" max="19" width="16" bestFit="1" customWidth="1"/>
    <col min="20" max="20" width="14.7109375" bestFit="1" customWidth="1"/>
    <col min="21" max="21" width="15" bestFit="1" customWidth="1"/>
    <col min="22" max="22" width="11.42578125" bestFit="1" customWidth="1"/>
    <col min="23" max="23" width="34" bestFit="1" customWidth="1"/>
    <col min="24" max="24" width="15.28515625" bestFit="1" customWidth="1"/>
    <col min="25" max="25" width="17.7109375" bestFit="1" customWidth="1"/>
    <col min="26" max="26" width="43.85546875" customWidth="1"/>
  </cols>
  <sheetData>
    <row r="1" spans="1:27" ht="28.5" x14ac:dyDescent="0.45">
      <c r="A1" s="39" t="s">
        <v>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 ht="79.900000000000006" customHeight="1" x14ac:dyDescent="0.2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2"/>
    </row>
    <row r="3" spans="1:27" ht="60" x14ac:dyDescent="0.25">
      <c r="A3" s="21" t="s">
        <v>2</v>
      </c>
      <c r="B3" s="21" t="s">
        <v>3</v>
      </c>
      <c r="C3" s="21" t="s">
        <v>4</v>
      </c>
      <c r="D3" s="21" t="s">
        <v>5</v>
      </c>
      <c r="E3" s="21" t="s">
        <v>6</v>
      </c>
      <c r="F3" s="21" t="s">
        <v>7</v>
      </c>
      <c r="G3" s="21" t="s">
        <v>8</v>
      </c>
      <c r="H3" s="21" t="s">
        <v>9</v>
      </c>
      <c r="I3" s="21" t="s">
        <v>10</v>
      </c>
      <c r="J3" s="21" t="s">
        <v>11</v>
      </c>
      <c r="K3" s="23" t="s">
        <v>177</v>
      </c>
      <c r="L3" s="35" t="s">
        <v>190</v>
      </c>
      <c r="M3" s="23" t="s">
        <v>189</v>
      </c>
      <c r="N3" s="23" t="s">
        <v>188</v>
      </c>
      <c r="O3" s="23" t="s">
        <v>187</v>
      </c>
      <c r="P3" s="23" t="s">
        <v>186</v>
      </c>
      <c r="Q3" s="23" t="s">
        <v>185</v>
      </c>
      <c r="R3" s="21"/>
      <c r="S3" s="23" t="s">
        <v>184</v>
      </c>
      <c r="T3" s="23" t="s">
        <v>183</v>
      </c>
      <c r="U3" s="23" t="s">
        <v>182</v>
      </c>
      <c r="V3" s="23" t="s">
        <v>181</v>
      </c>
      <c r="W3" s="23" t="s">
        <v>180</v>
      </c>
      <c r="X3" s="23" t="s">
        <v>179</v>
      </c>
      <c r="Y3" s="23" t="s">
        <v>178</v>
      </c>
      <c r="Z3" s="36" t="s">
        <v>191</v>
      </c>
    </row>
    <row r="4" spans="1:27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61</v>
      </c>
      <c r="G4">
        <v>74.69</v>
      </c>
      <c r="H4">
        <v>7</v>
      </c>
      <c r="I4">
        <v>26.141500000000001</v>
      </c>
      <c r="J4">
        <v>20000000</v>
      </c>
      <c r="K4" t="str">
        <f>CONCATENATE(C4,"_",D4)</f>
        <v>Trichy_Member</v>
      </c>
      <c r="L4" t="str">
        <f>TEXT(J4,"#,##0")</f>
        <v>2,00,00,000</v>
      </c>
      <c r="M4" t="str">
        <f>LEFT(K4,5)</f>
        <v>Trich</v>
      </c>
      <c r="N4" t="str">
        <f>RIGHT(K4,6)</f>
        <v>Member</v>
      </c>
      <c r="O4" t="str">
        <f>MID(K4,5,8)</f>
        <v>hy_Membe</v>
      </c>
      <c r="P4">
        <f>LEN(F4)</f>
        <v>19</v>
      </c>
      <c r="Q4" t="str">
        <f>TRIM(F4)</f>
        <v>Health and beauty</v>
      </c>
      <c r="S4" t="str">
        <f>UPPER(K4)</f>
        <v>TRICHY_MEMBER</v>
      </c>
      <c r="T4" t="str">
        <f>LOWER(S4)</f>
        <v>trichy_member</v>
      </c>
      <c r="U4" t="str">
        <f>PROPER(T4)</f>
        <v>Trichy_Member</v>
      </c>
      <c r="V4" t="str">
        <f>REPT(P4,5)</f>
        <v>1919191919</v>
      </c>
      <c r="W4" t="str">
        <f>SUBSTITUTE(U4,"Trichy","Chennai")</f>
        <v>Chennai_Member</v>
      </c>
      <c r="X4">
        <f>FIND("em",U4)</f>
        <v>9</v>
      </c>
      <c r="Y4">
        <f>SEARCH("em",T4)</f>
        <v>9</v>
      </c>
      <c r="Z4" t="str">
        <f ca="1">UPPER(CONCATENATE("CUST",LEFT(A4,2),"BR",B4,"LOC",LEFT(C4,3),RANDBETWEEN(1000,9999)))</f>
        <v>CUST75BRALOCTRI1423</v>
      </c>
    </row>
    <row r="5" spans="1:27" x14ac:dyDescent="0.25">
      <c r="A5" t="s">
        <v>18</v>
      </c>
      <c r="B5" t="s">
        <v>19</v>
      </c>
      <c r="C5" t="s">
        <v>20</v>
      </c>
      <c r="D5" t="s">
        <v>21</v>
      </c>
      <c r="E5" t="s">
        <v>16</v>
      </c>
      <c r="F5" t="s">
        <v>22</v>
      </c>
      <c r="G5">
        <v>15.28</v>
      </c>
      <c r="H5">
        <v>5</v>
      </c>
      <c r="I5">
        <v>3.82</v>
      </c>
      <c r="J5">
        <v>80.22</v>
      </c>
      <c r="K5" t="str">
        <f>CONCATENATE(C5,"_",D5)</f>
        <v>Chennai_Normal</v>
      </c>
      <c r="M5" t="str">
        <f t="shared" ref="M5:M34" si="0">LEFT(K5,5)</f>
        <v>Chenn</v>
      </c>
      <c r="N5" t="str">
        <f t="shared" ref="N5:N34" si="1">RIGHT(K5,6)</f>
        <v>Normal</v>
      </c>
      <c r="P5">
        <f>LEN(Q4)</f>
        <v>17</v>
      </c>
      <c r="Z5" t="str">
        <f t="shared" ref="Z5:Z34" ca="1" si="2">UPPER(CONCATENATE("CUST",LEFT(A5,2),"BR",B5,"LOC",LEFT(C5,3),RANDBETWEEN(1000,9999)))</f>
        <v>CUST22BRCLOCCHE3507</v>
      </c>
    </row>
    <row r="6" spans="1:27" x14ac:dyDescent="0.25">
      <c r="A6" t="s">
        <v>23</v>
      </c>
      <c r="B6" t="s">
        <v>13</v>
      </c>
      <c r="C6" t="s">
        <v>14</v>
      </c>
      <c r="D6" t="s">
        <v>21</v>
      </c>
      <c r="E6" t="s">
        <v>24</v>
      </c>
      <c r="F6" t="s">
        <v>25</v>
      </c>
      <c r="G6">
        <v>46.33</v>
      </c>
      <c r="H6">
        <v>7</v>
      </c>
      <c r="I6">
        <v>16.215499999999999</v>
      </c>
      <c r="J6">
        <v>340.52550000000002</v>
      </c>
      <c r="K6" t="str">
        <f t="shared" ref="K6:K34" si="3">CONCATENATE(C6,"_",D6)</f>
        <v>Trichy_Normal</v>
      </c>
      <c r="M6" t="str">
        <f t="shared" si="0"/>
        <v>Trich</v>
      </c>
      <c r="N6" t="str">
        <f t="shared" si="1"/>
        <v>Normal</v>
      </c>
      <c r="Z6" t="str">
        <f t="shared" ca="1" si="2"/>
        <v>CUST63BRALOCTRI5621</v>
      </c>
    </row>
    <row r="7" spans="1:27" x14ac:dyDescent="0.25">
      <c r="A7" t="s">
        <v>26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>
        <v>58.22</v>
      </c>
      <c r="H7">
        <v>8</v>
      </c>
      <c r="I7">
        <v>23.288</v>
      </c>
      <c r="J7">
        <v>489.048</v>
      </c>
      <c r="K7" t="str">
        <f t="shared" si="3"/>
        <v>Trichy_Member</v>
      </c>
      <c r="M7" t="str">
        <f t="shared" si="0"/>
        <v>Trich</v>
      </c>
      <c r="N7" t="str">
        <f t="shared" si="1"/>
        <v>Member</v>
      </c>
      <c r="Z7" t="str">
        <f t="shared" ca="1" si="2"/>
        <v>CUST12BRALOCTRI1556</v>
      </c>
    </row>
    <row r="8" spans="1:27" x14ac:dyDescent="0.25">
      <c r="A8" t="s">
        <v>27</v>
      </c>
      <c r="B8" t="s">
        <v>13</v>
      </c>
      <c r="C8" t="s">
        <v>14</v>
      </c>
      <c r="D8" t="s">
        <v>21</v>
      </c>
      <c r="E8" t="s">
        <v>24</v>
      </c>
      <c r="F8" t="s">
        <v>28</v>
      </c>
      <c r="G8">
        <v>86.31</v>
      </c>
      <c r="H8">
        <v>7</v>
      </c>
      <c r="I8">
        <v>30.208500000000001</v>
      </c>
      <c r="J8">
        <v>634.37850000000003</v>
      </c>
      <c r="K8" t="str">
        <f t="shared" si="3"/>
        <v>Trichy_Normal</v>
      </c>
      <c r="M8" t="str">
        <f t="shared" si="0"/>
        <v>Trich</v>
      </c>
      <c r="N8" t="str">
        <f t="shared" si="1"/>
        <v>Normal</v>
      </c>
      <c r="Z8" t="str">
        <f t="shared" ca="1" si="2"/>
        <v>CUST37BRALOCTRI9143</v>
      </c>
    </row>
    <row r="9" spans="1:27" x14ac:dyDescent="0.25">
      <c r="A9" t="s">
        <v>29</v>
      </c>
      <c r="B9" t="s">
        <v>19</v>
      </c>
      <c r="C9" t="s">
        <v>20</v>
      </c>
      <c r="D9" t="s">
        <v>21</v>
      </c>
      <c r="E9" t="s">
        <v>24</v>
      </c>
      <c r="F9" t="s">
        <v>22</v>
      </c>
      <c r="G9">
        <v>85.39</v>
      </c>
      <c r="H9">
        <v>7</v>
      </c>
      <c r="I9">
        <v>29.886500000000002</v>
      </c>
      <c r="J9">
        <v>627.61649999999997</v>
      </c>
      <c r="K9" t="str">
        <f t="shared" si="3"/>
        <v>Chennai_Normal</v>
      </c>
      <c r="L9" t="str">
        <f>TEXT(O9,"MM/DD/YYYY")</f>
        <v>07/23/2025</v>
      </c>
      <c r="M9" t="str">
        <f t="shared" si="0"/>
        <v>Chenn</v>
      </c>
      <c r="N9" t="str">
        <f t="shared" si="1"/>
        <v>Normal</v>
      </c>
      <c r="O9" s="3">
        <v>45861</v>
      </c>
      <c r="Z9" t="str">
        <f t="shared" ca="1" si="2"/>
        <v>CUST69BRCLOCCHE7103</v>
      </c>
    </row>
    <row r="10" spans="1:27" x14ac:dyDescent="0.25">
      <c r="A10" t="s">
        <v>30</v>
      </c>
      <c r="B10" t="s">
        <v>13</v>
      </c>
      <c r="C10" t="s">
        <v>14</v>
      </c>
      <c r="D10" t="s">
        <v>15</v>
      </c>
      <c r="E10" t="s">
        <v>16</v>
      </c>
      <c r="F10" t="s">
        <v>22</v>
      </c>
      <c r="G10">
        <v>68.84</v>
      </c>
      <c r="H10">
        <v>6</v>
      </c>
      <c r="I10">
        <v>20.652000000000001</v>
      </c>
      <c r="J10">
        <v>433.69200000000001</v>
      </c>
      <c r="K10" t="str">
        <f t="shared" si="3"/>
        <v>Trichy_Member</v>
      </c>
      <c r="M10" t="str">
        <f t="shared" si="0"/>
        <v>Trich</v>
      </c>
      <c r="N10" t="str">
        <f t="shared" si="1"/>
        <v>Member</v>
      </c>
      <c r="Z10" t="str">
        <f t="shared" ca="1" si="2"/>
        <v>CUST35BRALOCTRI7241</v>
      </c>
    </row>
    <row r="11" spans="1:27" x14ac:dyDescent="0.25">
      <c r="A11" t="s">
        <v>31</v>
      </c>
      <c r="B11" t="s">
        <v>19</v>
      </c>
      <c r="C11" t="s">
        <v>20</v>
      </c>
      <c r="D11" t="s">
        <v>21</v>
      </c>
      <c r="E11" t="s">
        <v>16</v>
      </c>
      <c r="F11" t="s">
        <v>25</v>
      </c>
      <c r="G11">
        <v>73.56</v>
      </c>
      <c r="H11">
        <v>10</v>
      </c>
      <c r="I11">
        <v>36.78</v>
      </c>
      <c r="J11">
        <v>772.38</v>
      </c>
      <c r="K11" t="str">
        <f t="shared" si="3"/>
        <v>Chennai_Normal</v>
      </c>
      <c r="M11" t="str">
        <f t="shared" si="0"/>
        <v>Chenn</v>
      </c>
      <c r="N11" t="str">
        <f t="shared" si="1"/>
        <v>Normal</v>
      </c>
      <c r="Z11" t="str">
        <f t="shared" ca="1" si="2"/>
        <v>CUST31BRCLOCCHE2748</v>
      </c>
    </row>
    <row r="12" spans="1:27" x14ac:dyDescent="0.25">
      <c r="A12" t="s">
        <v>32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>
        <v>36.26</v>
      </c>
      <c r="H12">
        <v>2</v>
      </c>
      <c r="I12">
        <v>3.6259999999999999</v>
      </c>
      <c r="J12">
        <v>76.146000000000001</v>
      </c>
      <c r="K12" t="str">
        <f t="shared" si="3"/>
        <v>Trichy_Member</v>
      </c>
      <c r="M12" t="str">
        <f t="shared" si="0"/>
        <v>Trich</v>
      </c>
      <c r="N12" t="str">
        <f t="shared" si="1"/>
        <v>Member</v>
      </c>
      <c r="Z12" t="str">
        <f t="shared" ca="1" si="2"/>
        <v>CUST66BRALOCTRI1382</v>
      </c>
    </row>
    <row r="13" spans="1:27" x14ac:dyDescent="0.25">
      <c r="A13" t="s">
        <v>33</v>
      </c>
      <c r="B13" t="s">
        <v>34</v>
      </c>
      <c r="C13" t="s">
        <v>35</v>
      </c>
      <c r="D13" t="s">
        <v>15</v>
      </c>
      <c r="E13" t="s">
        <v>16</v>
      </c>
      <c r="F13" t="s">
        <v>36</v>
      </c>
      <c r="G13">
        <v>54.84</v>
      </c>
      <c r="H13">
        <v>3</v>
      </c>
      <c r="I13">
        <v>8.2260000000000009</v>
      </c>
      <c r="J13">
        <v>172.74600000000001</v>
      </c>
      <c r="K13" t="str">
        <f t="shared" si="3"/>
        <v>karur_Member</v>
      </c>
      <c r="M13" t="str">
        <f t="shared" si="0"/>
        <v>karur</v>
      </c>
      <c r="N13" t="str">
        <f t="shared" si="1"/>
        <v>Member</v>
      </c>
      <c r="Z13" t="str">
        <f t="shared" ca="1" si="2"/>
        <v>CUST69BRBLOCKAR3086</v>
      </c>
    </row>
    <row r="14" spans="1:27" x14ac:dyDescent="0.25">
      <c r="A14" t="s">
        <v>37</v>
      </c>
      <c r="B14" t="s">
        <v>34</v>
      </c>
      <c r="C14" t="s">
        <v>35</v>
      </c>
      <c r="D14" t="s">
        <v>15</v>
      </c>
      <c r="E14" t="s">
        <v>16</v>
      </c>
      <c r="F14" t="s">
        <v>38</v>
      </c>
      <c r="G14">
        <v>14.48</v>
      </c>
      <c r="H14">
        <v>4</v>
      </c>
      <c r="I14">
        <v>2.8959999999999999</v>
      </c>
      <c r="J14">
        <v>60.816000000000003</v>
      </c>
      <c r="K14" t="str">
        <f t="shared" si="3"/>
        <v>karur_Member</v>
      </c>
      <c r="M14" t="str">
        <f t="shared" si="0"/>
        <v>karur</v>
      </c>
      <c r="N14" t="str">
        <f t="shared" si="1"/>
        <v>Member</v>
      </c>
      <c r="Z14" t="str">
        <f t="shared" ca="1" si="2"/>
        <v>CUST35BRBLOCKAR8641</v>
      </c>
    </row>
    <row r="15" spans="1:27" x14ac:dyDescent="0.25">
      <c r="A15" t="s">
        <v>39</v>
      </c>
      <c r="B15" t="s">
        <v>34</v>
      </c>
      <c r="C15" t="s">
        <v>35</v>
      </c>
      <c r="D15" t="s">
        <v>15</v>
      </c>
      <c r="E15" t="s">
        <v>24</v>
      </c>
      <c r="F15" t="s">
        <v>22</v>
      </c>
      <c r="G15">
        <v>25.51</v>
      </c>
      <c r="H15">
        <v>4</v>
      </c>
      <c r="I15">
        <v>5.1020000000000003</v>
      </c>
      <c r="J15">
        <v>107.142</v>
      </c>
      <c r="K15" t="str">
        <f t="shared" si="3"/>
        <v>karur_Member</v>
      </c>
      <c r="M15" t="str">
        <f t="shared" si="0"/>
        <v>karur</v>
      </c>
      <c r="N15" t="str">
        <f t="shared" si="1"/>
        <v>Member</v>
      </c>
      <c r="Z15" t="str">
        <f t="shared" ca="1" si="2"/>
        <v>CUST52BRBLOCKAR4282</v>
      </c>
    </row>
    <row r="16" spans="1:27" x14ac:dyDescent="0.25">
      <c r="A16" t="s">
        <v>40</v>
      </c>
      <c r="B16" t="s">
        <v>13</v>
      </c>
      <c r="C16" t="s">
        <v>14</v>
      </c>
      <c r="D16" t="s">
        <v>21</v>
      </c>
      <c r="E16" t="s">
        <v>16</v>
      </c>
      <c r="F16" t="s">
        <v>22</v>
      </c>
      <c r="G16">
        <v>46.95</v>
      </c>
      <c r="H16">
        <v>5</v>
      </c>
      <c r="I16">
        <v>11.737500000000001</v>
      </c>
      <c r="J16">
        <v>246.48750000000001</v>
      </c>
      <c r="K16" t="str">
        <f t="shared" si="3"/>
        <v>Trichy_Normal</v>
      </c>
      <c r="M16" t="str">
        <f t="shared" si="0"/>
        <v>Trich</v>
      </c>
      <c r="N16" t="str">
        <f t="shared" si="1"/>
        <v>Normal</v>
      </c>
      <c r="Z16" t="str">
        <f t="shared" ca="1" si="2"/>
        <v>CUST36BRALOCTRI1614</v>
      </c>
    </row>
    <row r="17" spans="1:26" x14ac:dyDescent="0.25">
      <c r="A17" t="s">
        <v>41</v>
      </c>
      <c r="B17" t="s">
        <v>13</v>
      </c>
      <c r="C17" t="s">
        <v>14</v>
      </c>
      <c r="D17" t="s">
        <v>21</v>
      </c>
      <c r="E17" t="s">
        <v>24</v>
      </c>
      <c r="F17" t="s">
        <v>36</v>
      </c>
      <c r="G17">
        <v>43.19</v>
      </c>
      <c r="H17">
        <v>10</v>
      </c>
      <c r="I17">
        <v>21.594999999999999</v>
      </c>
      <c r="J17">
        <v>453.495</v>
      </c>
      <c r="K17" t="str">
        <f t="shared" si="3"/>
        <v>Trichy_Normal</v>
      </c>
      <c r="M17" t="str">
        <f t="shared" si="0"/>
        <v>Trich</v>
      </c>
      <c r="N17" t="str">
        <f t="shared" si="1"/>
        <v>Normal</v>
      </c>
      <c r="Z17" t="str">
        <f t="shared" ca="1" si="2"/>
        <v>CUST25BRALOCTRI7696</v>
      </c>
    </row>
    <row r="18" spans="1:26" x14ac:dyDescent="0.25">
      <c r="A18" t="s">
        <v>42</v>
      </c>
      <c r="B18" t="s">
        <v>13</v>
      </c>
      <c r="C18" t="s">
        <v>14</v>
      </c>
      <c r="D18" t="s">
        <v>21</v>
      </c>
      <c r="E18" t="s">
        <v>16</v>
      </c>
      <c r="F18" t="s">
        <v>17</v>
      </c>
      <c r="G18">
        <v>71.38</v>
      </c>
      <c r="H18">
        <v>10</v>
      </c>
      <c r="I18">
        <v>35.69</v>
      </c>
      <c r="J18">
        <v>749.49</v>
      </c>
      <c r="K18" t="str">
        <f t="shared" si="3"/>
        <v>Trichy_Normal</v>
      </c>
      <c r="M18" t="str">
        <f t="shared" si="0"/>
        <v>Trich</v>
      </c>
      <c r="N18" t="str">
        <f t="shared" si="1"/>
        <v>Normal</v>
      </c>
      <c r="Z18" t="str">
        <f t="shared" ca="1" si="2"/>
        <v>CUST82BRALOCTRI8728</v>
      </c>
    </row>
    <row r="19" spans="1:26" x14ac:dyDescent="0.25">
      <c r="A19" t="s">
        <v>43</v>
      </c>
      <c r="B19" t="s">
        <v>34</v>
      </c>
      <c r="C19" t="s">
        <v>35</v>
      </c>
      <c r="D19" t="s">
        <v>15</v>
      </c>
      <c r="E19" t="s">
        <v>16</v>
      </c>
      <c r="F19" t="s">
        <v>28</v>
      </c>
      <c r="G19">
        <v>93.72</v>
      </c>
      <c r="H19">
        <v>6</v>
      </c>
      <c r="I19">
        <v>28.116</v>
      </c>
      <c r="J19">
        <v>590.43600000000004</v>
      </c>
      <c r="K19" t="str">
        <f t="shared" si="3"/>
        <v>karur_Member</v>
      </c>
      <c r="M19" t="str">
        <f t="shared" si="0"/>
        <v>karur</v>
      </c>
      <c r="N19" t="str">
        <f t="shared" si="1"/>
        <v>Member</v>
      </c>
      <c r="Z19" t="str">
        <f t="shared" ca="1" si="2"/>
        <v>CUST29BRBLOCKAR6855</v>
      </c>
    </row>
    <row r="20" spans="1:26" x14ac:dyDescent="0.25">
      <c r="A20" t="s">
        <v>44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>
        <v>68.930000000000007</v>
      </c>
      <c r="H20">
        <v>7</v>
      </c>
      <c r="I20">
        <v>24.125499999999999</v>
      </c>
      <c r="J20">
        <v>506.63549999999998</v>
      </c>
      <c r="K20" t="str">
        <f t="shared" si="3"/>
        <v>Trichy_Member</v>
      </c>
      <c r="M20" t="str">
        <f t="shared" si="0"/>
        <v>Trich</v>
      </c>
      <c r="N20" t="str">
        <f t="shared" si="1"/>
        <v>Member</v>
      </c>
      <c r="Z20" t="str">
        <f t="shared" ca="1" si="2"/>
        <v>CUST65BRALOCTRI7510</v>
      </c>
    </row>
    <row r="21" spans="1:26" x14ac:dyDescent="0.25">
      <c r="A21" t="s">
        <v>45</v>
      </c>
      <c r="B21" t="s">
        <v>13</v>
      </c>
      <c r="C21" t="s">
        <v>14</v>
      </c>
      <c r="D21" t="s">
        <v>21</v>
      </c>
      <c r="E21" t="s">
        <v>24</v>
      </c>
      <c r="F21" t="s">
        <v>28</v>
      </c>
      <c r="G21">
        <v>72.61</v>
      </c>
      <c r="H21">
        <v>6</v>
      </c>
      <c r="I21">
        <v>21.783000000000001</v>
      </c>
      <c r="J21">
        <v>457.44299999999998</v>
      </c>
      <c r="K21" t="str">
        <f t="shared" si="3"/>
        <v>Trichy_Normal</v>
      </c>
      <c r="M21" t="str">
        <f t="shared" si="0"/>
        <v>Trich</v>
      </c>
      <c r="N21" t="str">
        <f t="shared" si="1"/>
        <v>Normal</v>
      </c>
      <c r="Z21" t="str">
        <f t="shared" ca="1" si="2"/>
        <v>CUST76BRALOCTRI1286</v>
      </c>
    </row>
    <row r="22" spans="1:26" x14ac:dyDescent="0.25">
      <c r="A22" t="s">
        <v>46</v>
      </c>
      <c r="B22" t="s">
        <v>13</v>
      </c>
      <c r="C22" t="s">
        <v>14</v>
      </c>
      <c r="D22" t="s">
        <v>21</v>
      </c>
      <c r="E22" t="s">
        <v>24</v>
      </c>
      <c r="F22" t="s">
        <v>36</v>
      </c>
      <c r="G22">
        <v>54.67</v>
      </c>
      <c r="H22">
        <v>3</v>
      </c>
      <c r="I22">
        <v>8.2004999999999999</v>
      </c>
      <c r="J22">
        <v>172.2105</v>
      </c>
      <c r="K22" t="str">
        <f t="shared" si="3"/>
        <v>Trichy_Normal</v>
      </c>
      <c r="M22" t="str">
        <f t="shared" si="0"/>
        <v>Trich</v>
      </c>
      <c r="N22" t="str">
        <f t="shared" si="1"/>
        <v>Normal</v>
      </c>
      <c r="Z22" t="str">
        <f t="shared" ca="1" si="2"/>
        <v>CUST32BRALOCTRI2869</v>
      </c>
    </row>
    <row r="23" spans="1:26" x14ac:dyDescent="0.25">
      <c r="A23" t="s">
        <v>47</v>
      </c>
      <c r="B23" t="s">
        <v>34</v>
      </c>
      <c r="C23" t="s">
        <v>35</v>
      </c>
      <c r="D23" t="s">
        <v>21</v>
      </c>
      <c r="E23" t="s">
        <v>16</v>
      </c>
      <c r="F23" t="s">
        <v>25</v>
      </c>
      <c r="G23">
        <v>40.299999999999997</v>
      </c>
      <c r="H23">
        <v>2</v>
      </c>
      <c r="I23">
        <v>4.03</v>
      </c>
      <c r="J23">
        <v>84.63</v>
      </c>
      <c r="K23" t="str">
        <f t="shared" si="3"/>
        <v>karur_Normal</v>
      </c>
      <c r="M23" t="str">
        <f t="shared" si="0"/>
        <v>karur</v>
      </c>
      <c r="N23" t="str">
        <f t="shared" si="1"/>
        <v>Normal</v>
      </c>
      <c r="Z23" t="str">
        <f t="shared" ca="1" si="2"/>
        <v>CUST31BRBLOCKAR4553</v>
      </c>
    </row>
    <row r="24" spans="1:26" x14ac:dyDescent="0.25">
      <c r="A24" t="s">
        <v>48</v>
      </c>
      <c r="B24" t="s">
        <v>19</v>
      </c>
      <c r="C24" t="s">
        <v>20</v>
      </c>
      <c r="D24" t="s">
        <v>15</v>
      </c>
      <c r="E24" t="s">
        <v>24</v>
      </c>
      <c r="F24" t="s">
        <v>22</v>
      </c>
      <c r="G24">
        <v>86.04</v>
      </c>
      <c r="H24">
        <v>5</v>
      </c>
      <c r="I24">
        <v>21.51</v>
      </c>
      <c r="J24">
        <v>451.71</v>
      </c>
      <c r="K24" t="str">
        <f t="shared" si="3"/>
        <v>Chennai_Member</v>
      </c>
      <c r="M24" t="str">
        <f t="shared" si="0"/>
        <v>Chenn</v>
      </c>
      <c r="N24" t="str">
        <f t="shared" si="1"/>
        <v>Member</v>
      </c>
      <c r="Z24" t="str">
        <f t="shared" ca="1" si="2"/>
        <v>CUST30BRCLOCCHE9240</v>
      </c>
    </row>
    <row r="25" spans="1:26" x14ac:dyDescent="0.25">
      <c r="A25" t="s">
        <v>49</v>
      </c>
      <c r="B25" t="s">
        <v>34</v>
      </c>
      <c r="C25" t="s">
        <v>35</v>
      </c>
      <c r="D25" t="s">
        <v>21</v>
      </c>
      <c r="E25" t="s">
        <v>24</v>
      </c>
      <c r="F25" t="s">
        <v>17</v>
      </c>
      <c r="G25">
        <v>87.98</v>
      </c>
      <c r="H25">
        <v>3</v>
      </c>
      <c r="I25">
        <v>13.196999999999999</v>
      </c>
      <c r="J25">
        <v>277.137</v>
      </c>
      <c r="K25" t="str">
        <f t="shared" si="3"/>
        <v>karur_Normal</v>
      </c>
      <c r="M25" t="str">
        <f t="shared" si="0"/>
        <v>karur</v>
      </c>
      <c r="N25" t="str">
        <f t="shared" si="1"/>
        <v>Normal</v>
      </c>
      <c r="Z25" t="str">
        <f t="shared" ca="1" si="2"/>
        <v>CUST37BRBLOCKAR6218</v>
      </c>
    </row>
    <row r="26" spans="1:26" x14ac:dyDescent="0.25">
      <c r="A26" t="s">
        <v>50</v>
      </c>
      <c r="B26" t="s">
        <v>34</v>
      </c>
      <c r="C26" t="s">
        <v>35</v>
      </c>
      <c r="D26" t="s">
        <v>21</v>
      </c>
      <c r="E26" t="s">
        <v>24</v>
      </c>
      <c r="F26" t="s">
        <v>25</v>
      </c>
      <c r="G26">
        <v>33.200000000000003</v>
      </c>
      <c r="H26">
        <v>2</v>
      </c>
      <c r="I26">
        <v>3.32</v>
      </c>
      <c r="J26">
        <v>69.72</v>
      </c>
      <c r="K26" t="str">
        <f t="shared" si="3"/>
        <v>karur_Normal</v>
      </c>
      <c r="M26" t="str">
        <f t="shared" si="0"/>
        <v>karur</v>
      </c>
      <c r="N26" t="str">
        <f t="shared" si="1"/>
        <v>Normal</v>
      </c>
      <c r="Z26" t="str">
        <f t="shared" ca="1" si="2"/>
        <v>CUST27BRBLOCKAR7161</v>
      </c>
    </row>
    <row r="27" spans="1:26" x14ac:dyDescent="0.25">
      <c r="A27" t="s">
        <v>51</v>
      </c>
      <c r="B27" t="s">
        <v>13</v>
      </c>
      <c r="C27" t="s">
        <v>14</v>
      </c>
      <c r="D27" t="s">
        <v>21</v>
      </c>
      <c r="E27" t="s">
        <v>24</v>
      </c>
      <c r="F27" t="s">
        <v>22</v>
      </c>
      <c r="G27">
        <v>34.56</v>
      </c>
      <c r="H27">
        <v>5</v>
      </c>
      <c r="I27">
        <v>8.64</v>
      </c>
      <c r="J27">
        <v>181.44</v>
      </c>
      <c r="K27" t="str">
        <f t="shared" si="3"/>
        <v>Trichy_Normal</v>
      </c>
      <c r="M27" t="str">
        <f t="shared" si="0"/>
        <v>Trich</v>
      </c>
      <c r="N27" t="str">
        <f t="shared" si="1"/>
        <v>Normal</v>
      </c>
      <c r="Z27" t="str">
        <f t="shared" ca="1" si="2"/>
        <v>CUST63BRALOCTRI3608</v>
      </c>
    </row>
    <row r="28" spans="1:26" x14ac:dyDescent="0.25">
      <c r="A28" t="s">
        <v>52</v>
      </c>
      <c r="B28" t="s">
        <v>13</v>
      </c>
      <c r="C28" t="s">
        <v>14</v>
      </c>
      <c r="D28" t="s">
        <v>15</v>
      </c>
      <c r="E28" t="s">
        <v>24</v>
      </c>
      <c r="F28" t="s">
        <v>28</v>
      </c>
      <c r="G28">
        <v>88.63</v>
      </c>
      <c r="H28">
        <v>3</v>
      </c>
      <c r="I28">
        <v>13.294499999999999</v>
      </c>
      <c r="J28">
        <v>279.18450000000001</v>
      </c>
      <c r="K28" t="str">
        <f t="shared" si="3"/>
        <v>Trichy_Member</v>
      </c>
      <c r="M28" t="str">
        <f t="shared" si="0"/>
        <v>Trich</v>
      </c>
      <c r="N28" t="str">
        <f t="shared" si="1"/>
        <v>Member</v>
      </c>
      <c r="Z28" t="str">
        <f t="shared" ca="1" si="2"/>
        <v>CUST54BRALOCTRI3969</v>
      </c>
    </row>
    <row r="29" spans="1:26" x14ac:dyDescent="0.25">
      <c r="A29" t="s">
        <v>53</v>
      </c>
      <c r="B29" t="s">
        <v>13</v>
      </c>
      <c r="C29" t="s">
        <v>14</v>
      </c>
      <c r="D29" t="s">
        <v>15</v>
      </c>
      <c r="E29" t="s">
        <v>16</v>
      </c>
      <c r="F29" t="s">
        <v>25</v>
      </c>
      <c r="G29">
        <v>52.59</v>
      </c>
      <c r="H29">
        <v>8</v>
      </c>
      <c r="I29">
        <v>21.036000000000001</v>
      </c>
      <c r="J29">
        <v>441.75599999999997</v>
      </c>
      <c r="K29" t="str">
        <f t="shared" si="3"/>
        <v>Trichy_Member</v>
      </c>
      <c r="M29" t="str">
        <f t="shared" si="0"/>
        <v>Trich</v>
      </c>
      <c r="N29" t="str">
        <f t="shared" si="1"/>
        <v>Member</v>
      </c>
      <c r="Z29" t="str">
        <f t="shared" ca="1" si="2"/>
        <v>CUST22BRALOCTRI6562</v>
      </c>
    </row>
    <row r="30" spans="1:26" x14ac:dyDescent="0.25">
      <c r="A30" t="s">
        <v>54</v>
      </c>
      <c r="B30" t="s">
        <v>34</v>
      </c>
      <c r="C30" t="s">
        <v>35</v>
      </c>
      <c r="D30" t="s">
        <v>21</v>
      </c>
      <c r="E30" t="s">
        <v>24</v>
      </c>
      <c r="F30" t="s">
        <v>38</v>
      </c>
      <c r="G30">
        <v>33.520000000000003</v>
      </c>
      <c r="H30">
        <v>1</v>
      </c>
      <c r="I30">
        <v>1.6759999999999999</v>
      </c>
      <c r="J30">
        <v>35.195999999999998</v>
      </c>
      <c r="K30" t="str">
        <f t="shared" si="3"/>
        <v>karur_Normal</v>
      </c>
      <c r="M30" t="str">
        <f t="shared" si="0"/>
        <v>karur</v>
      </c>
      <c r="N30" t="str">
        <f t="shared" si="1"/>
        <v>Normal</v>
      </c>
      <c r="Z30" t="str">
        <f t="shared" ca="1" si="2"/>
        <v>CUST64BRBLOCKAR4209</v>
      </c>
    </row>
    <row r="31" spans="1:26" x14ac:dyDescent="0.25">
      <c r="A31" t="s">
        <v>55</v>
      </c>
      <c r="B31" t="s">
        <v>13</v>
      </c>
      <c r="C31" t="s">
        <v>14</v>
      </c>
      <c r="D31" t="s">
        <v>21</v>
      </c>
      <c r="E31" t="s">
        <v>16</v>
      </c>
      <c r="F31" t="s">
        <v>38</v>
      </c>
      <c r="G31">
        <v>87.67</v>
      </c>
      <c r="H31">
        <v>2</v>
      </c>
      <c r="I31">
        <v>8.7669999999999995</v>
      </c>
      <c r="J31">
        <v>184.107</v>
      </c>
      <c r="K31" t="str">
        <f t="shared" si="3"/>
        <v>Trichy_Normal</v>
      </c>
      <c r="M31" t="str">
        <f t="shared" si="0"/>
        <v>Trich</v>
      </c>
      <c r="N31" t="str">
        <f t="shared" si="1"/>
        <v>Normal</v>
      </c>
      <c r="Z31" t="str">
        <f t="shared" ca="1" si="2"/>
        <v>CUST18BRALOCTRI5890</v>
      </c>
    </row>
    <row r="32" spans="1:26" x14ac:dyDescent="0.25">
      <c r="A32" t="s">
        <v>56</v>
      </c>
      <c r="B32" t="s">
        <v>34</v>
      </c>
      <c r="C32" t="s">
        <v>35</v>
      </c>
      <c r="D32" t="s">
        <v>21</v>
      </c>
      <c r="E32" t="s">
        <v>16</v>
      </c>
      <c r="F32" t="s">
        <v>36</v>
      </c>
      <c r="G32">
        <v>88.36</v>
      </c>
      <c r="H32">
        <v>5</v>
      </c>
      <c r="I32">
        <v>22.09</v>
      </c>
      <c r="J32">
        <v>463.89</v>
      </c>
      <c r="K32" t="str">
        <f t="shared" si="3"/>
        <v>karur_Normal</v>
      </c>
      <c r="M32" t="str">
        <f t="shared" si="0"/>
        <v>karur</v>
      </c>
      <c r="N32" t="str">
        <f t="shared" si="1"/>
        <v>Normal</v>
      </c>
      <c r="Z32" t="str">
        <f t="shared" ca="1" si="2"/>
        <v>CUST14BRBLOCKAR9494</v>
      </c>
    </row>
    <row r="33" spans="1:26" x14ac:dyDescent="0.25">
      <c r="A33" t="s">
        <v>57</v>
      </c>
      <c r="B33" t="s">
        <v>13</v>
      </c>
      <c r="C33" t="s">
        <v>14</v>
      </c>
      <c r="D33" t="s">
        <v>21</v>
      </c>
      <c r="E33" t="s">
        <v>24</v>
      </c>
      <c r="F33" t="s">
        <v>17</v>
      </c>
      <c r="G33">
        <v>24.89</v>
      </c>
      <c r="H33">
        <v>9</v>
      </c>
      <c r="I33">
        <v>11.2005</v>
      </c>
      <c r="J33">
        <v>235.2105</v>
      </c>
      <c r="K33" t="str">
        <f t="shared" si="3"/>
        <v>Trichy_Normal</v>
      </c>
      <c r="M33" t="str">
        <f t="shared" si="0"/>
        <v>Trich</v>
      </c>
      <c r="N33" t="str">
        <f t="shared" si="1"/>
        <v>Normal</v>
      </c>
      <c r="Z33" t="str">
        <f t="shared" ca="1" si="2"/>
        <v>CUST84BRALOCTRI5792</v>
      </c>
    </row>
    <row r="34" spans="1:26" x14ac:dyDescent="0.25">
      <c r="A34" t="s">
        <v>58</v>
      </c>
      <c r="B34" t="s">
        <v>34</v>
      </c>
      <c r="C34" t="s">
        <v>35</v>
      </c>
      <c r="D34" t="s">
        <v>21</v>
      </c>
      <c r="E34" t="s">
        <v>24</v>
      </c>
      <c r="F34" t="s">
        <v>38</v>
      </c>
      <c r="G34">
        <v>94.13</v>
      </c>
      <c r="H34">
        <v>5</v>
      </c>
      <c r="I34">
        <v>23.532499999999999</v>
      </c>
      <c r="J34">
        <v>494.1825</v>
      </c>
      <c r="K34" t="str">
        <f t="shared" si="3"/>
        <v>karur_Normal</v>
      </c>
      <c r="M34" t="str">
        <f t="shared" si="0"/>
        <v>karur</v>
      </c>
      <c r="N34" t="str">
        <f t="shared" si="1"/>
        <v>Normal</v>
      </c>
      <c r="Z34" t="str">
        <f t="shared" ca="1" si="2"/>
        <v>CUST87BRBLOCKAR6447</v>
      </c>
    </row>
  </sheetData>
  <mergeCells count="2">
    <mergeCell ref="A1:AA1"/>
    <mergeCell ref="A2:AA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E4" sqref="E4:E7"/>
    </sheetView>
  </sheetViews>
  <sheetFormatPr defaultRowHeight="15" x14ac:dyDescent="0.25"/>
  <cols>
    <col min="2" max="3" width="6.7109375" customWidth="1"/>
    <col min="4" max="4" width="8.5703125" customWidth="1"/>
    <col min="5" max="5" width="61" customWidth="1"/>
    <col min="6" max="6" width="37.5703125" customWidth="1"/>
    <col min="7" max="7" width="36.28515625" customWidth="1"/>
    <col min="8" max="9" width="38.28515625" bestFit="1" customWidth="1"/>
    <col min="10" max="10" width="51.5703125" bestFit="1" customWidth="1"/>
    <col min="11" max="11" width="55.42578125" bestFit="1" customWidth="1"/>
    <col min="12" max="12" width="57.28515625" bestFit="1" customWidth="1"/>
    <col min="13" max="13" width="45.140625" bestFit="1" customWidth="1"/>
    <col min="14" max="14" width="26.42578125" bestFit="1" customWidth="1"/>
    <col min="15" max="15" width="26.140625" bestFit="1" customWidth="1"/>
    <col min="16" max="16" width="52.7109375" bestFit="1" customWidth="1"/>
    <col min="17" max="17" width="21.85546875" bestFit="1" customWidth="1"/>
    <col min="18" max="18" width="29.7109375" bestFit="1" customWidth="1"/>
    <col min="20" max="20" width="13.42578125" bestFit="1" customWidth="1"/>
    <col min="21" max="21" width="61" bestFit="1" customWidth="1"/>
  </cols>
  <sheetData>
    <row r="1" spans="1:21" x14ac:dyDescent="0.25">
      <c r="A1" s="43" t="s">
        <v>192</v>
      </c>
      <c r="C1" s="43" t="s">
        <v>199</v>
      </c>
      <c r="D1" s="43" t="s">
        <v>200</v>
      </c>
      <c r="E1" s="7" t="s">
        <v>68</v>
      </c>
      <c r="F1" s="7" t="s">
        <v>69</v>
      </c>
      <c r="G1" s="7" t="s">
        <v>70</v>
      </c>
      <c r="H1" s="7"/>
      <c r="I1" s="7" t="s">
        <v>71</v>
      </c>
      <c r="J1" s="7" t="s">
        <v>72</v>
      </c>
      <c r="K1" s="7" t="s">
        <v>73</v>
      </c>
      <c r="L1" s="7" t="s">
        <v>74</v>
      </c>
      <c r="M1" s="7" t="s">
        <v>75</v>
      </c>
      <c r="N1" s="7" t="s">
        <v>76</v>
      </c>
      <c r="O1" s="7" t="s">
        <v>77</v>
      </c>
      <c r="P1" s="7"/>
      <c r="Q1" s="7" t="s">
        <v>78</v>
      </c>
      <c r="R1" s="8"/>
      <c r="T1" s="11" t="s">
        <v>105</v>
      </c>
      <c r="U1" s="11" t="s">
        <v>104</v>
      </c>
    </row>
    <row r="2" spans="1:21" ht="83.45" customHeight="1" x14ac:dyDescent="0.25">
      <c r="A2" s="43"/>
      <c r="B2" s="44" t="s">
        <v>193</v>
      </c>
      <c r="C2" s="43"/>
      <c r="D2" s="43"/>
      <c r="E2" s="7" t="s">
        <v>79</v>
      </c>
      <c r="F2" s="7" t="s">
        <v>80</v>
      </c>
      <c r="G2" s="7" t="s">
        <v>81</v>
      </c>
      <c r="H2" s="7" t="s">
        <v>82</v>
      </c>
      <c r="I2" s="7" t="s">
        <v>83</v>
      </c>
      <c r="J2" s="7" t="s">
        <v>84</v>
      </c>
      <c r="K2" s="7" t="s">
        <v>85</v>
      </c>
      <c r="L2" s="7" t="s">
        <v>86</v>
      </c>
      <c r="M2" s="7" t="s">
        <v>87</v>
      </c>
      <c r="N2" s="7" t="s">
        <v>88</v>
      </c>
      <c r="O2" s="7" t="s">
        <v>89</v>
      </c>
      <c r="P2" s="7"/>
      <c r="Q2" s="8"/>
      <c r="R2" s="8"/>
      <c r="T2" s="11" t="s">
        <v>68</v>
      </c>
      <c r="U2" s="11" t="s">
        <v>79</v>
      </c>
    </row>
    <row r="3" spans="1:21" ht="67.150000000000006" customHeight="1" x14ac:dyDescent="0.25">
      <c r="A3" s="43"/>
      <c r="B3" s="44"/>
      <c r="C3" s="43"/>
      <c r="D3" s="43"/>
      <c r="E3" s="9" t="s">
        <v>90</v>
      </c>
      <c r="F3" s="10" t="s">
        <v>91</v>
      </c>
      <c r="G3" s="10" t="s">
        <v>92</v>
      </c>
      <c r="H3" s="10" t="s">
        <v>93</v>
      </c>
      <c r="I3" s="10" t="s">
        <v>94</v>
      </c>
      <c r="J3" s="10" t="s">
        <v>95</v>
      </c>
      <c r="K3" s="10" t="s">
        <v>96</v>
      </c>
      <c r="L3" s="10" t="s">
        <v>97</v>
      </c>
      <c r="M3" s="10" t="s">
        <v>98</v>
      </c>
      <c r="N3" s="10" t="s">
        <v>99</v>
      </c>
      <c r="O3" s="10" t="s">
        <v>100</v>
      </c>
      <c r="P3" s="10" t="s">
        <v>101</v>
      </c>
      <c r="Q3" s="10" t="s">
        <v>102</v>
      </c>
      <c r="R3" s="10" t="s">
        <v>103</v>
      </c>
      <c r="T3" s="11" t="s">
        <v>69</v>
      </c>
      <c r="U3" s="11" t="s">
        <v>80</v>
      </c>
    </row>
    <row r="4" spans="1:21" x14ac:dyDescent="0.25">
      <c r="A4" s="12">
        <v>40</v>
      </c>
      <c r="B4" t="s">
        <v>194</v>
      </c>
      <c r="C4" s="12">
        <v>33300</v>
      </c>
      <c r="D4" s="12" t="s">
        <v>201</v>
      </c>
      <c r="E4" s="13" t="str">
        <f>IF(B4="ravi","this is ravi","this is not ravi")</f>
        <v>this is not ravi</v>
      </c>
      <c r="F4" s="14"/>
      <c r="G4" s="13" t="b">
        <f>OR(A4&gt;10, C4&lt;30)</f>
        <v>1</v>
      </c>
      <c r="H4" s="13" t="b">
        <f>AND(A4&gt;10, C4&lt;30)</f>
        <v>0</v>
      </c>
      <c r="I4" s="13" t="b">
        <f>NOT(A4&gt;15)</f>
        <v>0</v>
      </c>
      <c r="J4" s="13" t="str">
        <f>IFERROR(22/"x","cannot divide by letters")</f>
        <v>cannot divide by letters</v>
      </c>
      <c r="K4" s="13" t="e">
        <f ca="1">IFS(A4&gt;30, "Above 30", C4&gt;20, "Above 20", A5&gt;10, "Above 10")</f>
        <v>#NAME?</v>
      </c>
      <c r="L4" s="13" t="e">
        <f ca="1">_xlfn.SWITCH("A", "A", "Category A", "B", "Category B", "Unknown")</f>
        <v>#NAME?</v>
      </c>
      <c r="M4" s="13" t="e">
        <f ca="1">_xludf.XOR(E3&gt;10, G6&lt;30)</f>
        <v>#NAME?</v>
      </c>
      <c r="N4" s="13" t="b">
        <f>FALSE()</f>
        <v>0</v>
      </c>
      <c r="O4" s="13" t="b">
        <f>TRUE()</f>
        <v>1</v>
      </c>
      <c r="P4" s="13" t="str">
        <f>IF(A4&gt;0,"A value is greater than zero", "A value is no greater")</f>
        <v>A value is greater than zero</v>
      </c>
      <c r="Q4" s="12">
        <f>SUMIF(D4:D8,"A",A4:A8)</f>
        <v>0</v>
      </c>
      <c r="R4" s="12">
        <f>SUMIFS(A4:A8,D4:D8,"A",C4:C8,0)</f>
        <v>0</v>
      </c>
      <c r="T4" s="11" t="s">
        <v>70</v>
      </c>
      <c r="U4" s="11" t="s">
        <v>81</v>
      </c>
    </row>
    <row r="5" spans="1:21" ht="30" x14ac:dyDescent="0.25">
      <c r="A5" s="12">
        <v>55</v>
      </c>
      <c r="B5" t="s">
        <v>195</v>
      </c>
      <c r="C5" s="12">
        <v>2000</v>
      </c>
      <c r="D5" s="12" t="s">
        <v>202</v>
      </c>
      <c r="E5" s="13" t="str">
        <f>IF(C5&gt;25000,"paid above 25000rs", "not paid above 25000rs")</f>
        <v>not paid above 25000rs</v>
      </c>
      <c r="F5" s="14" t="str">
        <f>IF(AND(B5="ravi",C5&gt;25000),"yes he is raju and he paid above 25000rs", "no he is not")</f>
        <v>no he is not</v>
      </c>
      <c r="G5" s="14" t="str">
        <f>IF(OR(C5="ravi",D5&gt;25000),"yes he is raju and he paid above 25000rs", "no he is not")</f>
        <v>yes he is raju and he paid above 25000rs</v>
      </c>
      <c r="H5" s="13"/>
      <c r="I5" s="14" t="str">
        <f>IF(NOT(AND(E5="ravi",F5&gt;25000)),"yes he is raju and he paid above 25000rs", "no he is not")</f>
        <v>yes he is raju and he paid above 25000rs</v>
      </c>
      <c r="J5" s="13">
        <f>IFERROR(A5/C5, "Error")</f>
        <v>2.75E-2</v>
      </c>
      <c r="K5" s="13"/>
      <c r="L5" s="13"/>
      <c r="M5" s="13"/>
      <c r="N5" s="15"/>
      <c r="O5" s="13"/>
      <c r="P5" s="13" t="str">
        <f>IF(A5&gt;30,"A value is greater than given", "A value is no greater than given")</f>
        <v>A value is greater than given</v>
      </c>
      <c r="Q5" s="12">
        <f>SUMIF(D5:D9,"A",A5:A9)</f>
        <v>0</v>
      </c>
      <c r="R5" s="12">
        <f>SUMIFS(A5:A9,D5:D9,"A",C5:C9,0)</f>
        <v>0</v>
      </c>
      <c r="T5" s="11" t="s">
        <v>71</v>
      </c>
      <c r="U5" s="11" t="s">
        <v>83</v>
      </c>
    </row>
    <row r="6" spans="1:21" x14ac:dyDescent="0.25">
      <c r="A6" s="12">
        <v>30</v>
      </c>
      <c r="B6" t="s">
        <v>196</v>
      </c>
      <c r="C6" s="12">
        <v>23400</v>
      </c>
      <c r="D6" s="12" t="s">
        <v>201</v>
      </c>
      <c r="E6" s="13" t="str">
        <f>IF(B6="raju",CONCATENATE("raju  : ",C6),IF(B6="ragav",CONCATENATE("Ragav : ",C6),IF(B6="ram",CONCATENATE("Ram : ",C6),B6)))</f>
        <v>raju  : 23400</v>
      </c>
      <c r="F6" s="14"/>
      <c r="G6" s="13" t="b">
        <f>OR(A6&gt;10, C6&lt;30)</f>
        <v>1</v>
      </c>
      <c r="H6" s="13"/>
      <c r="I6" s="13"/>
      <c r="J6" s="13">
        <f>IFERROR(A6/C6, "Error")</f>
        <v>1.2820512820512821E-3</v>
      </c>
      <c r="K6" s="13"/>
      <c r="L6" s="13"/>
      <c r="M6" s="13"/>
      <c r="N6" s="13"/>
      <c r="O6" s="13"/>
      <c r="P6" s="13" t="str">
        <f>IF(A6&gt;0,D6, "A value is no greater than given")</f>
        <v>java</v>
      </c>
      <c r="Q6" s="12">
        <f>SUMIF(D6:D10,"A",A6:A10)</f>
        <v>0</v>
      </c>
      <c r="R6" s="12">
        <f>SUMIFS(A6:A10,D6:D10,"A",C6:C10,0)</f>
        <v>0</v>
      </c>
      <c r="T6" s="11" t="s">
        <v>72</v>
      </c>
      <c r="U6" s="11" t="s">
        <v>84</v>
      </c>
    </row>
    <row r="7" spans="1:21" x14ac:dyDescent="0.25">
      <c r="A7" s="12">
        <v>40</v>
      </c>
      <c r="B7" t="s">
        <v>197</v>
      </c>
      <c r="C7" s="12">
        <v>24570</v>
      </c>
      <c r="D7" s="12" t="s">
        <v>202</v>
      </c>
      <c r="E7" s="13" t="str">
        <f>IF(B7="raju",CONCATENATE("raju  : ",C7),IF(B7="ragav",CONCATENATE("Ragav : ",C7),IF(B7="ram",CONCATENATE("Ram : ",C7),B7)))</f>
        <v>Ram : 24570</v>
      </c>
      <c r="F7" s="14"/>
      <c r="G7" s="13" t="b">
        <f>OR(A7&gt;10, C7&lt;30)</f>
        <v>1</v>
      </c>
      <c r="H7" s="13"/>
      <c r="I7" s="13"/>
      <c r="J7" s="13">
        <f>IFERROR(A7/C7, "Error")</f>
        <v>1.6280016280016279E-3</v>
      </c>
      <c r="K7" s="13"/>
      <c r="L7" s="13"/>
      <c r="M7" s="13"/>
      <c r="N7" s="16"/>
      <c r="O7" s="13"/>
      <c r="P7" s="13"/>
      <c r="Q7" s="12">
        <f t="shared" ref="Q7:Q8" si="0">SUMIF(D7:D11,"A",B7:B11)</f>
        <v>0</v>
      </c>
      <c r="R7" s="12">
        <f t="shared" ref="R7:R8" si="1">SUMIFS(B7:B11,D7:D11,"A",C7:C11,0)</f>
        <v>0</v>
      </c>
      <c r="T7" s="11" t="s">
        <v>73</v>
      </c>
      <c r="U7" s="11" t="s">
        <v>85</v>
      </c>
    </row>
    <row r="8" spans="1:21" x14ac:dyDescent="0.25">
      <c r="A8" s="12">
        <v>50</v>
      </c>
      <c r="B8" t="s">
        <v>198</v>
      </c>
      <c r="C8" s="12">
        <v>33300</v>
      </c>
      <c r="D8" s="12" t="s">
        <v>201</v>
      </c>
      <c r="E8" s="13" t="str">
        <f t="shared" ref="E8" si="2">IF(B8="raju",CONCATENATE("raju  : ",C8),IF(B8="ragav",CONCATENATE("Ragav : ",C8),IF(B8="ram",CONCATENATE("Ram : ",C8),B8)))</f>
        <v>Ragav : 33300</v>
      </c>
      <c r="F8" s="14"/>
      <c r="G8" s="13" t="b">
        <f>OR(A8&gt;10, C8&lt;30)</f>
        <v>1</v>
      </c>
      <c r="H8" s="13"/>
      <c r="I8" s="13"/>
      <c r="J8" s="13">
        <f>IFERROR(A8/C8, "Error")</f>
        <v>1.5015015015015015E-3</v>
      </c>
      <c r="K8" s="13"/>
      <c r="L8" s="13"/>
      <c r="M8" s="13"/>
      <c r="N8" s="13"/>
      <c r="O8" s="13"/>
      <c r="P8" s="13"/>
      <c r="Q8" s="12">
        <f t="shared" si="0"/>
        <v>0</v>
      </c>
      <c r="R8" s="12">
        <f t="shared" si="1"/>
        <v>0</v>
      </c>
      <c r="T8" s="11" t="s">
        <v>74</v>
      </c>
      <c r="U8" s="11" t="s">
        <v>86</v>
      </c>
    </row>
    <row r="9" spans="1:21" x14ac:dyDescent="0.25">
      <c r="A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7"/>
      <c r="O9" s="12"/>
      <c r="P9" s="12"/>
      <c r="Q9" s="12"/>
      <c r="R9" s="12"/>
      <c r="T9" s="11" t="s">
        <v>75</v>
      </c>
      <c r="U9" s="11" t="s">
        <v>87</v>
      </c>
    </row>
    <row r="10" spans="1:21" x14ac:dyDescent="0.25">
      <c r="A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T10" s="11" t="s">
        <v>76</v>
      </c>
      <c r="U10" s="11" t="s">
        <v>88</v>
      </c>
    </row>
    <row r="11" spans="1:21" x14ac:dyDescent="0.25">
      <c r="T11" s="11" t="s">
        <v>77</v>
      </c>
      <c r="U11" s="11" t="s">
        <v>89</v>
      </c>
    </row>
    <row r="13" spans="1:21" x14ac:dyDescent="0.25">
      <c r="E13" t="str">
        <f>CONCATENATE(C8,"  ",D8,"  ",B8)</f>
        <v>33300  java  ragav</v>
      </c>
    </row>
    <row r="14" spans="1:21" x14ac:dyDescent="0.25">
      <c r="U14" t="b">
        <f>FALSE</f>
        <v>0</v>
      </c>
    </row>
  </sheetData>
  <mergeCells count="4">
    <mergeCell ref="A1:A3"/>
    <mergeCell ref="C1:C3"/>
    <mergeCell ref="D1:D3"/>
    <mergeCell ref="B2:B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workbookViewId="0">
      <pane xSplit="3" ySplit="4" topLeftCell="F5" activePane="bottomRight" state="frozen"/>
      <selection pane="topRight" activeCell="D1" sqref="D1"/>
      <selection pane="bottomLeft" activeCell="A5" sqref="A5"/>
      <selection pane="bottomRight" activeCell="A2" sqref="A2:A4"/>
    </sheetView>
  </sheetViews>
  <sheetFormatPr defaultRowHeight="15" x14ac:dyDescent="0.25"/>
  <cols>
    <col min="4" max="4" width="15.7109375" bestFit="1" customWidth="1"/>
    <col min="5" max="5" width="14.85546875" bestFit="1" customWidth="1"/>
    <col min="6" max="6" width="13.28515625" bestFit="1" customWidth="1"/>
    <col min="7" max="7" width="14.140625" bestFit="1" customWidth="1"/>
    <col min="8" max="8" width="15.28515625" bestFit="1" customWidth="1"/>
    <col min="9" max="9" width="18.28515625" customWidth="1"/>
    <col min="10" max="10" width="26.5703125" bestFit="1" customWidth="1"/>
    <col min="11" max="11" width="11.7109375" bestFit="1" customWidth="1"/>
    <col min="12" max="12" width="11.42578125" bestFit="1" customWidth="1"/>
    <col min="13" max="13" width="13.28515625" bestFit="1" customWidth="1"/>
    <col min="14" max="14" width="11.28515625" bestFit="1" customWidth="1"/>
  </cols>
  <sheetData>
    <row r="1" spans="1:20" ht="28.5" x14ac:dyDescent="0.25">
      <c r="A1" s="48" t="s">
        <v>110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spans="1:20" x14ac:dyDescent="0.25">
      <c r="A2" s="43" t="s">
        <v>65</v>
      </c>
      <c r="B2" s="43" t="s">
        <v>66</v>
      </c>
      <c r="C2" s="43" t="s">
        <v>67</v>
      </c>
      <c r="E2" s="46" t="s">
        <v>109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3" spans="1:20" x14ac:dyDescent="0.25">
      <c r="A3" s="43"/>
      <c r="B3" s="43"/>
      <c r="C3" s="43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20" x14ac:dyDescent="0.25">
      <c r="A4" s="43"/>
      <c r="B4" s="43"/>
      <c r="C4" s="43"/>
      <c r="D4" s="23" t="s">
        <v>114</v>
      </c>
      <c r="E4" s="23" t="s">
        <v>113</v>
      </c>
      <c r="F4" s="23" t="s">
        <v>115</v>
      </c>
      <c r="G4" s="23" t="s">
        <v>120</v>
      </c>
      <c r="H4" s="23" t="s">
        <v>121</v>
      </c>
      <c r="I4" s="23" t="s">
        <v>122</v>
      </c>
      <c r="J4" s="23" t="s">
        <v>123</v>
      </c>
      <c r="K4" s="23" t="s">
        <v>124</v>
      </c>
      <c r="L4" s="23" t="s">
        <v>125</v>
      </c>
      <c r="M4" s="23" t="s">
        <v>126</v>
      </c>
      <c r="N4" s="23" t="s">
        <v>127</v>
      </c>
      <c r="O4" s="21"/>
      <c r="P4" s="21"/>
    </row>
    <row r="5" spans="1:20" x14ac:dyDescent="0.25">
      <c r="A5" s="12">
        <v>44</v>
      </c>
      <c r="B5" s="12">
        <v>0</v>
      </c>
      <c r="C5" s="12" t="s">
        <v>13</v>
      </c>
      <c r="D5">
        <f>AVERAGE(A5:A9)</f>
        <v>35.6</v>
      </c>
      <c r="E5">
        <f>MEDIAN(A5:A9)</f>
        <v>30</v>
      </c>
      <c r="F5">
        <f>MODE(A5:A9)</f>
        <v>30</v>
      </c>
      <c r="G5">
        <f>COUNT(A5:A9)</f>
        <v>5</v>
      </c>
      <c r="H5">
        <f>COUNTA(C5:C9)</f>
        <v>5</v>
      </c>
      <c r="I5">
        <f>COUNTIF(C5:C9,"A")</f>
        <v>3</v>
      </c>
      <c r="J5">
        <f>COUNTIFS(C5:C9,"A",B5:B9,0)</f>
        <v>2</v>
      </c>
      <c r="K5">
        <f>MAX(B5:B9)</f>
        <v>55</v>
      </c>
      <c r="L5">
        <f>MIN(B5:B9)</f>
        <v>0</v>
      </c>
      <c r="M5" s="21">
        <f>STDEV(A5:A9)</f>
        <v>7.6681158050723228</v>
      </c>
      <c r="N5">
        <f>VAR(A5:A9)</f>
        <v>58.799999999999955</v>
      </c>
    </row>
    <row r="6" spans="1:20" x14ac:dyDescent="0.25">
      <c r="A6" s="12">
        <v>30</v>
      </c>
      <c r="B6" s="12">
        <v>25</v>
      </c>
      <c r="C6" s="12" t="s">
        <v>34</v>
      </c>
      <c r="D6">
        <f t="shared" ref="D6:D9" si="0">AVERAGE(A6:A10)</f>
        <v>33.5</v>
      </c>
      <c r="E6">
        <f t="shared" ref="E6:E9" si="1">MEDIAN(A6:A10)</f>
        <v>30</v>
      </c>
      <c r="F6">
        <f>MODE(A5:A10)</f>
        <v>30</v>
      </c>
      <c r="G6">
        <f t="shared" ref="G6:G9" si="2">COUNT(A6:A10)</f>
        <v>4</v>
      </c>
    </row>
    <row r="7" spans="1:20" x14ac:dyDescent="0.25">
      <c r="A7" s="12">
        <v>30</v>
      </c>
      <c r="B7" s="12">
        <v>0</v>
      </c>
      <c r="C7" s="12" t="s">
        <v>13</v>
      </c>
      <c r="D7">
        <f t="shared" si="0"/>
        <v>34.666666666666664</v>
      </c>
      <c r="E7">
        <f t="shared" si="1"/>
        <v>30</v>
      </c>
      <c r="G7">
        <f t="shared" si="2"/>
        <v>3</v>
      </c>
    </row>
    <row r="8" spans="1:20" x14ac:dyDescent="0.25">
      <c r="A8" s="12">
        <v>30</v>
      </c>
      <c r="B8" s="12">
        <v>45</v>
      </c>
      <c r="C8" s="12" t="s">
        <v>34</v>
      </c>
      <c r="D8">
        <f t="shared" si="0"/>
        <v>37</v>
      </c>
      <c r="E8">
        <f t="shared" si="1"/>
        <v>37</v>
      </c>
      <c r="G8">
        <f t="shared" si="2"/>
        <v>2</v>
      </c>
    </row>
    <row r="9" spans="1:20" x14ac:dyDescent="0.25">
      <c r="A9" s="12">
        <v>44</v>
      </c>
      <c r="B9" s="12">
        <v>55</v>
      </c>
      <c r="C9" s="12" t="s">
        <v>13</v>
      </c>
      <c r="D9">
        <f t="shared" si="0"/>
        <v>44</v>
      </c>
      <c r="E9">
        <f t="shared" si="1"/>
        <v>44</v>
      </c>
      <c r="G9">
        <f t="shared" si="2"/>
        <v>1</v>
      </c>
    </row>
    <row r="11" spans="1:20" x14ac:dyDescent="0.25">
      <c r="N11">
        <f>SQRT(N5)</f>
        <v>7.6681158050723228</v>
      </c>
    </row>
    <row r="15" spans="1:20" x14ac:dyDescent="0.25">
      <c r="H15" t="s">
        <v>116</v>
      </c>
    </row>
    <row r="16" spans="1:20" x14ac:dyDescent="0.25">
      <c r="A16" s="45" t="s">
        <v>118</v>
      </c>
      <c r="B16" s="45"/>
      <c r="C16">
        <v>1</v>
      </c>
      <c r="D16">
        <v>3</v>
      </c>
      <c r="E16">
        <v>4</v>
      </c>
      <c r="F16">
        <v>5</v>
      </c>
      <c r="G16">
        <v>3</v>
      </c>
      <c r="H16">
        <f>MEDIAN(C16:G16)</f>
        <v>3</v>
      </c>
    </row>
    <row r="17" spans="1:9" x14ac:dyDescent="0.25">
      <c r="A17" s="45" t="s">
        <v>117</v>
      </c>
      <c r="B17" s="45"/>
      <c r="C17">
        <v>1</v>
      </c>
      <c r="D17">
        <v>3</v>
      </c>
      <c r="E17">
        <v>3</v>
      </c>
      <c r="F17">
        <v>4</v>
      </c>
      <c r="G17">
        <v>5</v>
      </c>
      <c r="H17">
        <v>3</v>
      </c>
      <c r="I17" t="s">
        <v>119</v>
      </c>
    </row>
  </sheetData>
  <mergeCells count="7">
    <mergeCell ref="A17:B17"/>
    <mergeCell ref="A16:B16"/>
    <mergeCell ref="E2:P2"/>
    <mergeCell ref="A1:T1"/>
    <mergeCell ref="A2:A4"/>
    <mergeCell ref="B2:B4"/>
    <mergeCell ref="C2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selection activeCell="H17" sqref="H17"/>
    </sheetView>
  </sheetViews>
  <sheetFormatPr defaultRowHeight="15" x14ac:dyDescent="0.25"/>
  <cols>
    <col min="1" max="1" width="12" bestFit="1" customWidth="1"/>
    <col min="3" max="3" width="12" bestFit="1" customWidth="1"/>
    <col min="8" max="8" width="22.7109375" bestFit="1" customWidth="1"/>
  </cols>
  <sheetData>
    <row r="1" spans="1:20" ht="28.5" x14ac:dyDescent="0.25">
      <c r="B1" s="48" t="s">
        <v>112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</row>
    <row r="2" spans="1:20" x14ac:dyDescent="0.25">
      <c r="A2" s="43" t="s">
        <v>67</v>
      </c>
      <c r="B2" s="43" t="s">
        <v>65</v>
      </c>
      <c r="C2" s="43" t="s">
        <v>133</v>
      </c>
      <c r="D2" s="46" t="s">
        <v>111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22"/>
      <c r="P2" s="22"/>
      <c r="Q2" s="22"/>
      <c r="R2" s="22"/>
      <c r="S2" s="22"/>
      <c r="T2" s="22"/>
    </row>
    <row r="3" spans="1:20" x14ac:dyDescent="0.25">
      <c r="A3" s="43"/>
      <c r="B3" s="43"/>
      <c r="C3" s="43"/>
      <c r="D3" s="12"/>
      <c r="E3" s="12"/>
      <c r="F3" s="12"/>
    </row>
    <row r="4" spans="1:20" x14ac:dyDescent="0.25">
      <c r="A4" s="43"/>
      <c r="B4" s="43"/>
      <c r="C4" s="43"/>
      <c r="D4" s="12"/>
      <c r="E4" s="12"/>
      <c r="F4" s="12"/>
    </row>
    <row r="5" spans="1:20" x14ac:dyDescent="0.25">
      <c r="A5" s="12" t="s">
        <v>13</v>
      </c>
      <c r="B5" s="12">
        <v>40</v>
      </c>
      <c r="C5" s="12">
        <v>0</v>
      </c>
      <c r="D5" s="12"/>
      <c r="E5" s="12"/>
      <c r="F5" s="12"/>
    </row>
    <row r="6" spans="1:20" x14ac:dyDescent="0.25">
      <c r="A6" s="12" t="s">
        <v>34</v>
      </c>
      <c r="B6" s="12">
        <v>55</v>
      </c>
      <c r="C6" s="12">
        <v>55</v>
      </c>
      <c r="D6" s="12"/>
      <c r="E6" s="12"/>
      <c r="F6" s="12"/>
      <c r="G6" s="24" t="s">
        <v>128</v>
      </c>
      <c r="H6" s="25" t="s">
        <v>134</v>
      </c>
    </row>
    <row r="7" spans="1:20" x14ac:dyDescent="0.25">
      <c r="A7" s="12" t="s">
        <v>131</v>
      </c>
      <c r="B7" s="12">
        <v>30</v>
      </c>
      <c r="C7" s="12">
        <v>0</v>
      </c>
      <c r="D7" s="12"/>
      <c r="E7" s="12"/>
      <c r="F7" s="12"/>
      <c r="G7" s="24" t="s">
        <v>13</v>
      </c>
      <c r="H7" s="24">
        <f>VLOOKUP(G7,A5:F9,3)</f>
        <v>0</v>
      </c>
    </row>
    <row r="8" spans="1:20" x14ac:dyDescent="0.25">
      <c r="A8" s="12" t="s">
        <v>132</v>
      </c>
      <c r="B8" s="12">
        <v>40</v>
      </c>
      <c r="C8" s="12">
        <v>45</v>
      </c>
      <c r="D8" s="12" t="s">
        <v>129</v>
      </c>
      <c r="E8" s="12">
        <v>33</v>
      </c>
      <c r="F8" s="12">
        <v>333</v>
      </c>
      <c r="G8" s="24" t="s">
        <v>34</v>
      </c>
      <c r="H8" s="24">
        <f>VLOOKUP(G8,A5:F9,3)</f>
        <v>55</v>
      </c>
    </row>
    <row r="9" spans="1:20" x14ac:dyDescent="0.25">
      <c r="A9" s="12" t="s">
        <v>130</v>
      </c>
      <c r="B9" s="12">
        <v>50</v>
      </c>
      <c r="C9" s="12">
        <v>55</v>
      </c>
      <c r="D9" s="12"/>
      <c r="E9" s="12"/>
      <c r="F9" s="12"/>
      <c r="G9" s="24" t="s">
        <v>130</v>
      </c>
      <c r="H9" s="24">
        <f>VLOOKUP(G9,A5:F9,3)</f>
        <v>55</v>
      </c>
    </row>
    <row r="15" spans="1:20" x14ac:dyDescent="0.25">
      <c r="H15" t="s">
        <v>136</v>
      </c>
    </row>
    <row r="16" spans="1:20" x14ac:dyDescent="0.25">
      <c r="A16" s="18" t="s">
        <v>67</v>
      </c>
      <c r="B16" s="12" t="s">
        <v>13</v>
      </c>
      <c r="C16" s="12" t="s">
        <v>34</v>
      </c>
      <c r="D16" s="12" t="s">
        <v>131</v>
      </c>
      <c r="E16" s="12" t="s">
        <v>132</v>
      </c>
      <c r="F16" s="12" t="s">
        <v>130</v>
      </c>
      <c r="G16" s="24" t="s">
        <v>128</v>
      </c>
      <c r="H16" s="26" t="s">
        <v>135</v>
      </c>
    </row>
    <row r="17" spans="1:8" x14ac:dyDescent="0.25">
      <c r="A17" s="18" t="s">
        <v>65</v>
      </c>
      <c r="B17" s="12">
        <v>40</v>
      </c>
      <c r="C17" s="12">
        <v>55</v>
      </c>
      <c r="D17" s="12">
        <v>30</v>
      </c>
      <c r="E17" s="12">
        <v>40</v>
      </c>
      <c r="F17" s="12">
        <v>50</v>
      </c>
      <c r="G17" s="24" t="s">
        <v>137</v>
      </c>
      <c r="H17" s="25">
        <f>HLOOKUP(G17,A16:F26,2,)</f>
        <v>50</v>
      </c>
    </row>
    <row r="18" spans="1:8" x14ac:dyDescent="0.25">
      <c r="A18" s="18" t="s">
        <v>133</v>
      </c>
      <c r="B18" s="12">
        <v>0</v>
      </c>
      <c r="C18" s="12">
        <v>25</v>
      </c>
      <c r="D18" s="12">
        <v>0</v>
      </c>
      <c r="E18" s="12">
        <v>45</v>
      </c>
      <c r="F18" s="12">
        <v>55</v>
      </c>
      <c r="G18" s="24">
        <v>50</v>
      </c>
      <c r="H18" s="25">
        <f>HLOOKUP(G18,B17:F21,2,TRUE)</f>
        <v>55</v>
      </c>
    </row>
    <row r="19" spans="1:8" x14ac:dyDescent="0.25">
      <c r="B19" s="12"/>
      <c r="C19" s="12"/>
      <c r="D19" s="12"/>
      <c r="E19" s="12" t="s">
        <v>129</v>
      </c>
      <c r="F19" s="12"/>
    </row>
    <row r="20" spans="1:8" x14ac:dyDescent="0.25">
      <c r="B20" s="12"/>
      <c r="C20" s="12"/>
      <c r="D20" s="12"/>
      <c r="E20" s="12">
        <v>33</v>
      </c>
      <c r="F20" s="12"/>
    </row>
    <row r="21" spans="1:8" x14ac:dyDescent="0.25">
      <c r="B21" s="12"/>
      <c r="C21" s="12"/>
      <c r="D21" s="12"/>
      <c r="E21" s="12">
        <v>333</v>
      </c>
      <c r="F21" s="12"/>
    </row>
  </sheetData>
  <mergeCells count="5">
    <mergeCell ref="D2:N2"/>
    <mergeCell ref="B1:T1"/>
    <mergeCell ref="B2:B4"/>
    <mergeCell ref="C2:C4"/>
    <mergeCell ref="A2: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>
      <selection activeCell="C15" sqref="C15:D15"/>
    </sheetView>
  </sheetViews>
  <sheetFormatPr defaultRowHeight="15" x14ac:dyDescent="0.25"/>
  <cols>
    <col min="4" max="4" width="18.85546875" customWidth="1"/>
    <col min="5" max="5" width="24.5703125" bestFit="1" customWidth="1"/>
    <col min="6" max="6" width="15.28515625" bestFit="1" customWidth="1"/>
    <col min="7" max="7" width="15.7109375" bestFit="1" customWidth="1"/>
    <col min="8" max="8" width="32.140625" bestFit="1" customWidth="1"/>
    <col min="10" max="10" width="13.28515625" bestFit="1" customWidth="1"/>
  </cols>
  <sheetData>
    <row r="1" spans="1:19" ht="28.5" x14ac:dyDescent="0.45">
      <c r="C1" s="49" t="s">
        <v>150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x14ac:dyDescent="0.25">
      <c r="D2" s="45" t="s">
        <v>158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</row>
    <row r="3" spans="1:19" x14ac:dyDescent="0.25">
      <c r="A3" s="28" t="s">
        <v>13</v>
      </c>
      <c r="B3" s="28" t="s">
        <v>34</v>
      </c>
      <c r="C3" s="28" t="s">
        <v>19</v>
      </c>
      <c r="D3" s="29" t="s">
        <v>151</v>
      </c>
      <c r="E3" s="29" t="s">
        <v>152</v>
      </c>
      <c r="F3" s="29" t="s">
        <v>153</v>
      </c>
      <c r="G3" s="29" t="s">
        <v>154</v>
      </c>
      <c r="H3" s="29" t="s">
        <v>155</v>
      </c>
      <c r="I3" s="29" t="s">
        <v>156</v>
      </c>
      <c r="J3" s="29" t="s">
        <v>157</v>
      </c>
    </row>
    <row r="4" spans="1:19" x14ac:dyDescent="0.25">
      <c r="A4" s="30" t="s">
        <v>145</v>
      </c>
      <c r="B4" s="30" t="s">
        <v>146</v>
      </c>
      <c r="C4" s="30" t="s">
        <v>6</v>
      </c>
    </row>
    <row r="5" spans="1:19" x14ac:dyDescent="0.25">
      <c r="A5" s="30" t="s">
        <v>147</v>
      </c>
      <c r="B5" s="30">
        <v>25</v>
      </c>
      <c r="C5" s="30" t="s">
        <v>24</v>
      </c>
      <c r="D5">
        <f>INDEX(A4:C21, 3,2)</f>
        <v>30</v>
      </c>
      <c r="E5">
        <f>MATCH("Sarah", A4:A7, 0)</f>
        <v>3</v>
      </c>
      <c r="F5">
        <f ca="1">INDIRECT("B5")</f>
        <v>25</v>
      </c>
      <c r="G5" t="str">
        <f ca="1">OFFSET(B5, 2, 1)</f>
        <v>male</v>
      </c>
      <c r="H5" t="str">
        <f>CHOOSE(2, A5,A6,A7)</f>
        <v>Sarah</v>
      </c>
      <c r="I5">
        <f>ROW(C7)</f>
        <v>7</v>
      </c>
      <c r="J5">
        <f>COLUMN(C7)</f>
        <v>3</v>
      </c>
    </row>
    <row r="6" spans="1:19" x14ac:dyDescent="0.25">
      <c r="A6" s="30" t="s">
        <v>148</v>
      </c>
      <c r="B6" s="30">
        <v>30</v>
      </c>
      <c r="C6" s="30" t="s">
        <v>16</v>
      </c>
      <c r="E6">
        <f>MATCH(27, B4:B7, 1)</f>
        <v>2</v>
      </c>
      <c r="F6">
        <f>B5</f>
        <v>25</v>
      </c>
    </row>
    <row r="7" spans="1:19" x14ac:dyDescent="0.25">
      <c r="A7" s="27" t="s">
        <v>149</v>
      </c>
      <c r="B7" s="27">
        <v>35</v>
      </c>
      <c r="C7" s="27" t="s">
        <v>159</v>
      </c>
    </row>
    <row r="15" spans="1:19" x14ac:dyDescent="0.25">
      <c r="D15" t="str">
        <f>A5</f>
        <v>John</v>
      </c>
    </row>
  </sheetData>
  <mergeCells count="2">
    <mergeCell ref="C1:S1"/>
    <mergeCell ref="D2:P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" sqref="B1:B11"/>
    </sheetView>
  </sheetViews>
  <sheetFormatPr defaultRowHeight="15" x14ac:dyDescent="0.25"/>
  <sheetData>
    <row r="1" spans="1:2" x14ac:dyDescent="0.25">
      <c r="A1" t="str">
        <f>'Reference Functions'!A4</f>
        <v>Name</v>
      </c>
      <c r="B1" t="str">
        <f>'Reference Functions'!C4</f>
        <v>Gender</v>
      </c>
    </row>
    <row r="2" spans="1:2" x14ac:dyDescent="0.25">
      <c r="A2" t="str">
        <f>'Reference Functions'!A5</f>
        <v>John</v>
      </c>
      <c r="B2" t="str">
        <f>'Reference Functions'!C5</f>
        <v>Male</v>
      </c>
    </row>
    <row r="3" spans="1:2" x14ac:dyDescent="0.25">
      <c r="A3" t="str">
        <f>'Reference Functions'!A6</f>
        <v>Sarah</v>
      </c>
      <c r="B3" t="str">
        <f>'Reference Functions'!C6</f>
        <v>Female</v>
      </c>
    </row>
    <row r="4" spans="1:2" x14ac:dyDescent="0.25">
      <c r="A4" t="str">
        <f>'Reference Functions'!A7</f>
        <v>Mike</v>
      </c>
      <c r="B4" t="str">
        <f>'Reference Functions'!C7</f>
        <v>male</v>
      </c>
    </row>
    <row r="5" spans="1:2" x14ac:dyDescent="0.25">
      <c r="A5">
        <f>'Reference Functions'!A8</f>
        <v>0</v>
      </c>
      <c r="B5">
        <f>'Reference Functions'!C8</f>
        <v>0</v>
      </c>
    </row>
    <row r="6" spans="1:2" x14ac:dyDescent="0.25">
      <c r="A6">
        <f>'Reference Functions'!A9</f>
        <v>0</v>
      </c>
      <c r="B6">
        <f>'Reference Functions'!C9</f>
        <v>0</v>
      </c>
    </row>
    <row r="7" spans="1:2" x14ac:dyDescent="0.25">
      <c r="A7">
        <f>'Reference Functions'!A10</f>
        <v>0</v>
      </c>
      <c r="B7">
        <f>'Reference Functions'!C10</f>
        <v>0</v>
      </c>
    </row>
    <row r="8" spans="1:2" x14ac:dyDescent="0.25">
      <c r="A8">
        <f>'Reference Functions'!A11</f>
        <v>0</v>
      </c>
      <c r="B8">
        <f>'Reference Functions'!C11</f>
        <v>0</v>
      </c>
    </row>
    <row r="9" spans="1:2" x14ac:dyDescent="0.25">
      <c r="A9">
        <f>'Reference Functions'!A12</f>
        <v>0</v>
      </c>
      <c r="B9">
        <f>'Reference Functions'!C12</f>
        <v>0</v>
      </c>
    </row>
    <row r="10" spans="1:2" x14ac:dyDescent="0.25">
      <c r="A10">
        <f>'Reference Functions'!A13</f>
        <v>0</v>
      </c>
      <c r="B10">
        <f>'Reference Functions'!C13</f>
        <v>0</v>
      </c>
    </row>
    <row r="11" spans="1:2" x14ac:dyDescent="0.25">
      <c r="A11">
        <f>'Reference Functions'!A14</f>
        <v>0</v>
      </c>
      <c r="B11">
        <f>'Reference Functions'!C14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lookupH</vt:lpstr>
      <vt:lpstr>LookupV</vt:lpstr>
      <vt:lpstr>Basic Math Formulas</vt:lpstr>
      <vt:lpstr>date and Time Functions</vt:lpstr>
      <vt:lpstr>Text Functins</vt:lpstr>
      <vt:lpstr>Logical Functions</vt:lpstr>
      <vt:lpstr>Statistical Functions</vt:lpstr>
      <vt:lpstr>Lookup (V and H _Lookup) </vt:lpstr>
      <vt:lpstr>Reference Functions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Laptop</cp:lastModifiedBy>
  <dcterms:created xsi:type="dcterms:W3CDTF">2025-02-05T04:49:06Z</dcterms:created>
  <dcterms:modified xsi:type="dcterms:W3CDTF">2026-03-05T07:17:04Z</dcterms:modified>
</cp:coreProperties>
</file>