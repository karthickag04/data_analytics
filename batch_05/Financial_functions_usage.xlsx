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5\"/>
    </mc:Choice>
  </mc:AlternateContent>
  <bookViews>
    <workbookView xWindow="0" yWindow="0" windowWidth="28800" windowHeight="12330" activeTab="1"/>
  </bookViews>
  <sheets>
    <sheet name="Scenario Summar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J11" i="1" l="1"/>
  <c r="I62" i="1"/>
  <c r="I30" i="1"/>
  <c r="J58" i="1"/>
  <c r="J26" i="1"/>
  <c r="I10" i="1"/>
  <c r="I37" i="1"/>
  <c r="J57" i="1"/>
  <c r="J33" i="1"/>
  <c r="I8" i="1"/>
  <c r="I44" i="1"/>
  <c r="J64" i="1"/>
  <c r="J48" i="1"/>
  <c r="J40" i="1"/>
  <c r="J32" i="1"/>
  <c r="J24" i="1"/>
  <c r="J16" i="1"/>
  <c r="I46" i="1"/>
  <c r="J50" i="1"/>
  <c r="J18" i="1"/>
  <c r="B15" i="1"/>
  <c r="I45" i="1"/>
  <c r="J65" i="1"/>
  <c r="J25" i="1"/>
  <c r="I9" i="1"/>
  <c r="I36" i="1"/>
  <c r="I43" i="1"/>
  <c r="J15" i="1"/>
  <c r="I11" i="1"/>
  <c r="I38" i="1"/>
  <c r="J66" i="1"/>
  <c r="J34" i="1"/>
  <c r="I61" i="1"/>
  <c r="I29" i="1"/>
  <c r="J49" i="1"/>
  <c r="J9" i="1"/>
  <c r="I52" i="1"/>
  <c r="I20" i="1"/>
  <c r="I16" i="1"/>
  <c r="I59" i="1"/>
  <c r="I35" i="1"/>
  <c r="I19" i="1"/>
  <c r="J55" i="1"/>
  <c r="J39" i="1"/>
  <c r="J23" i="1"/>
  <c r="I66" i="1"/>
  <c r="I50" i="1"/>
  <c r="I34" i="1"/>
  <c r="K34" i="1" s="1"/>
  <c r="I18" i="1"/>
  <c r="J62" i="1"/>
  <c r="J46" i="1"/>
  <c r="J22" i="1"/>
  <c r="I14" i="1"/>
  <c r="I65" i="1"/>
  <c r="I49" i="1"/>
  <c r="I33" i="1"/>
  <c r="I17" i="1"/>
  <c r="J61" i="1"/>
  <c r="J53" i="1"/>
  <c r="J45" i="1"/>
  <c r="J37" i="1"/>
  <c r="J29" i="1"/>
  <c r="J21" i="1"/>
  <c r="J13" i="1"/>
  <c r="I13" i="1"/>
  <c r="I64" i="1"/>
  <c r="I56" i="1"/>
  <c r="I48" i="1"/>
  <c r="I40" i="1"/>
  <c r="I32" i="1"/>
  <c r="I24" i="1"/>
  <c r="J8" i="1"/>
  <c r="J60" i="1"/>
  <c r="J52" i="1"/>
  <c r="J44" i="1"/>
  <c r="J36" i="1"/>
  <c r="J28" i="1"/>
  <c r="J20" i="1"/>
  <c r="J12" i="1"/>
  <c r="I54" i="1"/>
  <c r="I22" i="1"/>
  <c r="J42" i="1"/>
  <c r="J10" i="1"/>
  <c r="I53" i="1"/>
  <c r="I21" i="1"/>
  <c r="J41" i="1"/>
  <c r="J17" i="1"/>
  <c r="I60" i="1"/>
  <c r="I28" i="1"/>
  <c r="J56" i="1"/>
  <c r="I67" i="1"/>
  <c r="I51" i="1"/>
  <c r="I27" i="1"/>
  <c r="J63" i="1"/>
  <c r="J47" i="1"/>
  <c r="J31" i="1"/>
  <c r="I15" i="1"/>
  <c r="I58" i="1"/>
  <c r="I42" i="1"/>
  <c r="I26" i="1"/>
  <c r="J54" i="1"/>
  <c r="J38" i="1"/>
  <c r="J30" i="1"/>
  <c r="J14" i="1"/>
  <c r="I57" i="1"/>
  <c r="I41" i="1"/>
  <c r="I25" i="1"/>
  <c r="I12" i="1"/>
  <c r="I63" i="1"/>
  <c r="I55" i="1"/>
  <c r="I47" i="1"/>
  <c r="I39" i="1"/>
  <c r="I31" i="1"/>
  <c r="I23" i="1"/>
  <c r="J67" i="1"/>
  <c r="J59" i="1"/>
  <c r="J51" i="1"/>
  <c r="J43" i="1"/>
  <c r="J35" i="1"/>
  <c r="J27" i="1"/>
  <c r="J19" i="1"/>
  <c r="K58" i="1" l="1"/>
  <c r="K42" i="1"/>
  <c r="K52" i="1"/>
  <c r="K14" i="1"/>
  <c r="K47" i="1"/>
  <c r="K63" i="1"/>
  <c r="K25" i="1"/>
  <c r="K57" i="1"/>
  <c r="L11" i="1"/>
  <c r="K55" i="1"/>
  <c r="K48" i="1"/>
  <c r="K31" i="1"/>
  <c r="K28" i="1"/>
  <c r="K60" i="1"/>
  <c r="L12" i="1"/>
  <c r="K24" i="1"/>
  <c r="L8" i="1"/>
  <c r="K40" i="1"/>
  <c r="K11" i="1"/>
  <c r="K59" i="1"/>
  <c r="L47" i="1"/>
  <c r="K53" i="1"/>
  <c r="K36" i="1"/>
  <c r="K64" i="1"/>
  <c r="K67" i="1"/>
  <c r="K56" i="1"/>
  <c r="K44" i="1"/>
  <c r="K19" i="1"/>
  <c r="K61" i="1"/>
  <c r="K33" i="1"/>
  <c r="K15" i="1"/>
  <c r="K22" i="1"/>
  <c r="K18" i="1"/>
  <c r="K35" i="1"/>
  <c r="K9" i="1"/>
  <c r="K39" i="1"/>
  <c r="K49" i="1"/>
  <c r="K50" i="1"/>
  <c r="K8" i="1"/>
  <c r="K43" i="1"/>
  <c r="K41" i="1"/>
  <c r="K32" i="1"/>
  <c r="K29" i="1"/>
  <c r="K20" i="1"/>
  <c r="K45" i="1"/>
  <c r="K10" i="1"/>
  <c r="K51" i="1"/>
  <c r="K27" i="1"/>
  <c r="K23" i="1"/>
  <c r="L65" i="1"/>
  <c r="L67" i="1"/>
  <c r="L56" i="1"/>
  <c r="K17" i="1"/>
  <c r="K21" i="1"/>
  <c r="K16" i="1"/>
  <c r="K66" i="1"/>
  <c r="K65" i="1"/>
  <c r="K37" i="1"/>
  <c r="L52" i="1"/>
  <c r="L10" i="1"/>
  <c r="K12" i="1"/>
  <c r="K26" i="1"/>
  <c r="L18" i="1"/>
  <c r="L45" i="1"/>
  <c r="L25" i="1"/>
  <c r="L62" i="1"/>
  <c r="L14" i="1"/>
  <c r="L54" i="1"/>
  <c r="L51" i="1"/>
  <c r="L36" i="1"/>
  <c r="L29" i="1"/>
  <c r="L31" i="1"/>
  <c r="L40" i="1"/>
  <c r="L66" i="1"/>
  <c r="L17" i="1"/>
  <c r="L38" i="1"/>
  <c r="L59" i="1"/>
  <c r="L44" i="1"/>
  <c r="L37" i="1"/>
  <c r="L39" i="1"/>
  <c r="L48" i="1"/>
  <c r="K54" i="1"/>
  <c r="L33" i="1"/>
  <c r="L26" i="1"/>
  <c r="L22" i="1"/>
  <c r="L60" i="1"/>
  <c r="L53" i="1"/>
  <c r="L55" i="1"/>
  <c r="L64" i="1"/>
  <c r="K38" i="1"/>
  <c r="L41" i="1"/>
  <c r="L34" i="1"/>
  <c r="L19" i="1"/>
  <c r="L61" i="1"/>
  <c r="L63" i="1"/>
  <c r="L30" i="1"/>
  <c r="L49" i="1"/>
  <c r="L42" i="1"/>
  <c r="L27" i="1"/>
  <c r="L46" i="1"/>
  <c r="L16" i="1"/>
  <c r="K13" i="1"/>
  <c r="L57" i="1"/>
  <c r="L50" i="1"/>
  <c r="L35" i="1"/>
  <c r="L20" i="1"/>
  <c r="L13" i="1"/>
  <c r="L15" i="1"/>
  <c r="L24" i="1"/>
  <c r="K30" i="1"/>
  <c r="L58" i="1"/>
  <c r="L43" i="1"/>
  <c r="L28" i="1"/>
  <c r="L21" i="1"/>
  <c r="L23" i="1"/>
  <c r="L32" i="1"/>
  <c r="K46" i="1"/>
  <c r="L9" i="1"/>
  <c r="K62" i="1"/>
</calcChain>
</file>

<file path=xl/sharedStrings.xml><?xml version="1.0" encoding="utf-8"?>
<sst xmlns="http://schemas.openxmlformats.org/spreadsheetml/2006/main" count="27" uniqueCount="25">
  <si>
    <t>loan amount</t>
  </si>
  <si>
    <t>interest per year</t>
  </si>
  <si>
    <t>tennure</t>
  </si>
  <si>
    <t>no. of months</t>
  </si>
  <si>
    <t>interest per month</t>
  </si>
  <si>
    <t>EMI</t>
  </si>
  <si>
    <t>months</t>
  </si>
  <si>
    <t>principal</t>
  </si>
  <si>
    <t>interest</t>
  </si>
  <si>
    <t>emi</t>
  </si>
  <si>
    <t>remaining Balance</t>
  </si>
  <si>
    <t>emi date</t>
  </si>
  <si>
    <t>$B$7</t>
  </si>
  <si>
    <t>$B$15</t>
  </si>
  <si>
    <t>7 years</t>
  </si>
  <si>
    <t>Created by Laptop on 6/8/2026</t>
  </si>
  <si>
    <t>8 years</t>
  </si>
  <si>
    <t>9 years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</si>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</sst>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49]\ * #,##0.00_ ;_ [$₹-449]\ * \-#,##0.00_ ;_ [$₹-44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1" applyFont="1"/>
    <xf numFmtId="164" fontId="0" fillId="0" borderId="0" xfId="0" applyNumberFormat="1"/>
    <xf numFmtId="14" fontId="0" fillId="0" borderId="0" xfId="0" applyNumberFormat="1"/>
    <xf numFmtId="0" fontId="0" fillId="0" borderId="0" xfId="0" applyFill="1" applyBorder="1" applyAlignment="1"/>
    <xf numFmtId="164" fontId="0" fillId="0" borderId="2" xfId="0" applyNumberFormat="1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G11"/>
  <sheetViews>
    <sheetView showGridLines="0" workbookViewId="0">
      <selection activeCell="G8" sqref="G8"/>
    </sheetView>
  </sheetViews>
  <sheetFormatPr defaultRowHeight="15" outlineLevelRow="1" outlineLevelCol="1" x14ac:dyDescent="0.25"/>
  <cols>
    <col min="3" max="3" width="6.140625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7" t="s">
        <v>18</v>
      </c>
      <c r="C2" s="7"/>
      <c r="D2" s="12"/>
      <c r="E2" s="12"/>
      <c r="F2" s="12"/>
      <c r="G2" s="12"/>
    </row>
    <row r="3" spans="2:7" ht="15.75" collapsed="1" x14ac:dyDescent="0.25">
      <c r="B3" s="6"/>
      <c r="C3" s="6"/>
      <c r="D3" s="13" t="s">
        <v>20</v>
      </c>
      <c r="E3" s="13" t="s">
        <v>14</v>
      </c>
      <c r="F3" s="13" t="s">
        <v>16</v>
      </c>
      <c r="G3" s="13" t="s">
        <v>17</v>
      </c>
    </row>
    <row r="4" spans="2:7" ht="33.75" hidden="1" outlineLevel="1" x14ac:dyDescent="0.25">
      <c r="B4" s="9"/>
      <c r="C4" s="9"/>
      <c r="D4" s="4"/>
      <c r="E4" s="15" t="s">
        <v>15</v>
      </c>
      <c r="F4" s="15" t="s">
        <v>15</v>
      </c>
      <c r="G4" s="15" t="s">
        <v>15</v>
      </c>
    </row>
    <row r="5" spans="2:7" x14ac:dyDescent="0.25">
      <c r="B5" s="10" t="s">
        <v>19</v>
      </c>
      <c r="C5" s="10"/>
      <c r="D5" s="8"/>
      <c r="E5" s="8"/>
      <c r="F5" s="8"/>
      <c r="G5" s="8"/>
    </row>
    <row r="6" spans="2:7" outlineLevel="1" x14ac:dyDescent="0.25">
      <c r="B6" s="9"/>
      <c r="C6" s="9" t="s">
        <v>12</v>
      </c>
      <c r="D6" s="4">
        <v>5</v>
      </c>
      <c r="E6" s="14">
        <v>7</v>
      </c>
      <c r="F6" s="14">
        <v>8</v>
      </c>
      <c r="G6" s="14">
        <v>9</v>
      </c>
    </row>
    <row r="7" spans="2:7" x14ac:dyDescent="0.25">
      <c r="B7" s="10" t="s">
        <v>21</v>
      </c>
      <c r="C7" s="10"/>
      <c r="D7" s="8"/>
      <c r="E7" s="8"/>
      <c r="F7" s="8"/>
      <c r="G7" s="8"/>
    </row>
    <row r="8" spans="2:7" ht="15.75" outlineLevel="1" thickBot="1" x14ac:dyDescent="0.3">
      <c r="B8" s="11"/>
      <c r="C8" s="11" t="s">
        <v>13</v>
      </c>
      <c r="D8" s="5">
        <v>6000</v>
      </c>
      <c r="E8" s="5">
        <v>4612.1260558370004</v>
      </c>
      <c r="F8" s="5">
        <v>4183.1932404143799</v>
      </c>
      <c r="G8" s="5">
        <v>3852.3757336900899</v>
      </c>
    </row>
    <row r="9" spans="2:7" x14ac:dyDescent="0.25">
      <c r="B9" t="s">
        <v>22</v>
      </c>
    </row>
    <row r="10" spans="2:7" x14ac:dyDescent="0.25">
      <c r="B10" t="s">
        <v>23</v>
      </c>
    </row>
    <row r="11" spans="2:7" x14ac:dyDescent="0.25">
      <c r="B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67"/>
  <sheetViews>
    <sheetView tabSelected="1" workbookViewId="0">
      <selection activeCell="B24" sqref="B24"/>
    </sheetView>
  </sheetViews>
  <sheetFormatPr defaultRowHeight="15" x14ac:dyDescent="0.25"/>
  <cols>
    <col min="1" max="1" width="18" bestFit="1" customWidth="1"/>
    <col min="2" max="2" width="20.5703125" customWidth="1"/>
    <col min="9" max="11" width="11.28515625" bestFit="1" customWidth="1"/>
    <col min="12" max="12" width="17.5703125" bestFit="1" customWidth="1"/>
    <col min="13" max="13" width="9.7109375" bestFit="1" customWidth="1"/>
  </cols>
  <sheetData>
    <row r="5" spans="1:13" x14ac:dyDescent="0.25">
      <c r="A5" t="s">
        <v>0</v>
      </c>
      <c r="B5">
        <v>-295910.6000137566</v>
      </c>
    </row>
    <row r="6" spans="1:13" x14ac:dyDescent="0.25">
      <c r="A6" t="s">
        <v>1</v>
      </c>
      <c r="B6" s="1">
        <v>0.08</v>
      </c>
    </row>
    <row r="7" spans="1:13" x14ac:dyDescent="0.25">
      <c r="A7" t="s">
        <v>2</v>
      </c>
      <c r="B7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</row>
    <row r="8" spans="1:13" x14ac:dyDescent="0.25">
      <c r="A8" t="s">
        <v>3</v>
      </c>
      <c r="B8">
        <f>12*B7</f>
        <v>60</v>
      </c>
      <c r="H8">
        <v>1</v>
      </c>
      <c r="I8" s="2">
        <f>PPMT($B$9,H8,$B$8,$B$5)</f>
        <v>4027.2626665749558</v>
      </c>
      <c r="J8" s="2">
        <f>IPMT($B$9,H8,$B$8,$B$5)</f>
        <v>1972.7373334250442</v>
      </c>
      <c r="K8" s="2">
        <f>SUM(I8:J8)</f>
        <v>6000</v>
      </c>
      <c r="L8" s="2">
        <f>$B$5+SUM($I$8:I8)</f>
        <v>-291883.33734718163</v>
      </c>
      <c r="M8" s="3">
        <v>46181</v>
      </c>
    </row>
    <row r="9" spans="1:13" x14ac:dyDescent="0.25">
      <c r="A9" t="s">
        <v>4</v>
      </c>
      <c r="B9">
        <f>B6/12</f>
        <v>6.6666666666666671E-3</v>
      </c>
      <c r="H9">
        <v>2</v>
      </c>
      <c r="I9" s="2">
        <f t="shared" ref="I9:I67" si="0">PPMT($B$9,H9,$B$8,$B$5)</f>
        <v>4054.1110843521219</v>
      </c>
      <c r="J9" s="2">
        <f t="shared" ref="J9:J67" si="1">IPMT($B$9,H9,$B$8,$B$5)</f>
        <v>1945.8889156478776</v>
      </c>
      <c r="K9" s="2">
        <f t="shared" ref="K9:K67" si="2">SUM(I9:J9)</f>
        <v>6000</v>
      </c>
      <c r="L9" s="2">
        <f>$B$5+SUM($I$8:I9)</f>
        <v>-287829.2262628295</v>
      </c>
      <c r="M9" s="3">
        <v>46211</v>
      </c>
    </row>
    <row r="10" spans="1:13" x14ac:dyDescent="0.25">
      <c r="H10">
        <v>3</v>
      </c>
      <c r="I10" s="2">
        <f t="shared" si="0"/>
        <v>4081.1384915811363</v>
      </c>
      <c r="J10" s="2">
        <f t="shared" si="1"/>
        <v>1918.8615084188634</v>
      </c>
      <c r="K10" s="2">
        <f t="shared" si="2"/>
        <v>6000</v>
      </c>
      <c r="L10" s="2">
        <f>$B$5+SUM($I$8:I10)</f>
        <v>-283748.08777124836</v>
      </c>
      <c r="M10" s="3">
        <v>46242</v>
      </c>
    </row>
    <row r="11" spans="1:13" x14ac:dyDescent="0.25">
      <c r="H11">
        <v>4</v>
      </c>
      <c r="I11" s="2">
        <f t="shared" si="0"/>
        <v>4108.34608152501</v>
      </c>
      <c r="J11" s="2">
        <f t="shared" si="1"/>
        <v>1891.6539184749893</v>
      </c>
      <c r="K11" s="2">
        <f t="shared" si="2"/>
        <v>5999.9999999999991</v>
      </c>
      <c r="L11" s="2">
        <f>$B$5+SUM($I$8:I11)</f>
        <v>-279639.74168972339</v>
      </c>
      <c r="M11" s="3">
        <v>46273</v>
      </c>
    </row>
    <row r="12" spans="1:13" x14ac:dyDescent="0.25">
      <c r="H12">
        <v>5</v>
      </c>
      <c r="I12" s="2">
        <f t="shared" si="0"/>
        <v>4135.735055401844</v>
      </c>
      <c r="J12" s="2">
        <f t="shared" si="1"/>
        <v>1864.2649445981556</v>
      </c>
      <c r="K12" s="2">
        <f t="shared" si="2"/>
        <v>6000</v>
      </c>
      <c r="L12" s="2">
        <f>$B$5+SUM($I$8:I12)</f>
        <v>-275504.00663432153</v>
      </c>
      <c r="M12" s="3">
        <v>46303</v>
      </c>
    </row>
    <row r="13" spans="1:13" x14ac:dyDescent="0.25">
      <c r="H13">
        <v>6</v>
      </c>
      <c r="I13" s="2">
        <f t="shared" si="0"/>
        <v>4163.3066224378563</v>
      </c>
      <c r="J13" s="2">
        <f t="shared" si="1"/>
        <v>1836.6933775621433</v>
      </c>
      <c r="K13" s="2">
        <f t="shared" si="2"/>
        <v>6000</v>
      </c>
      <c r="L13" s="2">
        <f>$B$5+SUM($I$8:I13)</f>
        <v>-271340.70001188369</v>
      </c>
      <c r="M13" s="3">
        <v>46334</v>
      </c>
    </row>
    <row r="14" spans="1:13" x14ac:dyDescent="0.25">
      <c r="H14">
        <v>7</v>
      </c>
      <c r="I14" s="2">
        <f t="shared" si="0"/>
        <v>4191.0619999207756</v>
      </c>
      <c r="J14" s="2">
        <f t="shared" si="1"/>
        <v>1808.9380000792244</v>
      </c>
      <c r="K14" s="2">
        <f t="shared" si="2"/>
        <v>6000</v>
      </c>
      <c r="L14" s="2">
        <f>$B$5+SUM($I$8:I14)</f>
        <v>-267149.63801196287</v>
      </c>
      <c r="M14" s="3">
        <v>46364</v>
      </c>
    </row>
    <row r="15" spans="1:13" x14ac:dyDescent="0.25">
      <c r="A15" t="s">
        <v>5</v>
      </c>
      <c r="B15" s="2">
        <f>PMT(B9,B8,B5)</f>
        <v>6000</v>
      </c>
      <c r="C15" s="1">
        <v>0.08</v>
      </c>
      <c r="D15" s="1">
        <v>0.09</v>
      </c>
      <c r="E15" s="1">
        <v>0.11</v>
      </c>
      <c r="F15" s="1">
        <v>0.12</v>
      </c>
      <c r="G15" s="1">
        <v>0.13</v>
      </c>
      <c r="H15">
        <v>8</v>
      </c>
      <c r="I15" s="2">
        <f t="shared" si="0"/>
        <v>4219.00241325358</v>
      </c>
      <c r="J15" s="2">
        <f t="shared" si="1"/>
        <v>1780.9975867464193</v>
      </c>
      <c r="K15" s="2">
        <f t="shared" si="2"/>
        <v>5999.9999999999991</v>
      </c>
      <c r="L15" s="2">
        <f>$B$5+SUM($I$8:I15)</f>
        <v>-262930.63559870934</v>
      </c>
      <c r="M15" s="3">
        <v>46395</v>
      </c>
    </row>
    <row r="16" spans="1:13" x14ac:dyDescent="0.25">
      <c r="B16">
        <v>4</v>
      </c>
      <c r="C16">
        <f t="dataTable" ref="C16:G20" dt2D="1" dtr="1" r1="B6" r2="B7"/>
        <v>7224.0424981632432</v>
      </c>
      <c r="D16">
        <v>7363.7478202386301</v>
      </c>
      <c r="E16">
        <v>7647.9641036241155</v>
      </c>
      <c r="F16">
        <v>7792.4610433252683</v>
      </c>
      <c r="G16">
        <v>7938.540406790562</v>
      </c>
      <c r="H16">
        <v>9</v>
      </c>
      <c r="I16" s="2">
        <f t="shared" si="0"/>
        <v>4247.1290960086035</v>
      </c>
      <c r="J16" s="2">
        <f t="shared" si="1"/>
        <v>1752.8709039913954</v>
      </c>
      <c r="K16" s="2">
        <f t="shared" si="2"/>
        <v>5999.9999999999991</v>
      </c>
      <c r="L16" s="2">
        <f>$B$5+SUM($I$8:I16)</f>
        <v>-258683.50650270074</v>
      </c>
      <c r="M16" s="3">
        <v>46426</v>
      </c>
    </row>
    <row r="17" spans="2:13" x14ac:dyDescent="0.25">
      <c r="B17">
        <v>5</v>
      </c>
      <c r="C17">
        <v>6000</v>
      </c>
      <c r="D17">
        <v>6142.6173503291147</v>
      </c>
      <c r="E17">
        <v>6433.8134571788269</v>
      </c>
      <c r="F17">
        <v>6582.3678614139026</v>
      </c>
      <c r="G17">
        <v>6732.8754966731622</v>
      </c>
      <c r="H17">
        <v>10</v>
      </c>
      <c r="I17" s="2">
        <f t="shared" si="0"/>
        <v>4275.4432899819949</v>
      </c>
      <c r="J17" s="2">
        <f t="shared" si="1"/>
        <v>1724.5567100180047</v>
      </c>
      <c r="K17" s="2">
        <f t="shared" si="2"/>
        <v>6000</v>
      </c>
      <c r="L17" s="2">
        <f>$B$5+SUM($I$8:I17)</f>
        <v>-254408.06321271873</v>
      </c>
      <c r="M17" s="3">
        <v>46454</v>
      </c>
    </row>
    <row r="18" spans="2:13" x14ac:dyDescent="0.25">
      <c r="B18">
        <v>6</v>
      </c>
      <c r="C18">
        <v>5188.2717496685154</v>
      </c>
      <c r="D18">
        <v>5333.9475190335888</v>
      </c>
      <c r="E18">
        <v>5632.3857378080984</v>
      </c>
      <c r="F18">
        <v>5785.1091938581194</v>
      </c>
      <c r="G18">
        <v>5940.1405163782892</v>
      </c>
      <c r="H18">
        <v>11</v>
      </c>
      <c r="I18" s="2">
        <f t="shared" si="0"/>
        <v>4303.9462452485413</v>
      </c>
      <c r="J18" s="2">
        <f t="shared" si="1"/>
        <v>1696.0537547514582</v>
      </c>
      <c r="K18" s="2">
        <f t="shared" si="2"/>
        <v>6000</v>
      </c>
      <c r="L18" s="2">
        <f>$B$5+SUM($I$8:I18)</f>
        <v>-250104.11696747018</v>
      </c>
      <c r="M18" s="3">
        <v>46485</v>
      </c>
    </row>
    <row r="19" spans="2:13" x14ac:dyDescent="0.25">
      <c r="B19">
        <v>7</v>
      </c>
      <c r="C19">
        <v>4612.1260558369995</v>
      </c>
      <c r="D19">
        <v>4760.9288015962948</v>
      </c>
      <c r="E19">
        <v>5066.710439148299</v>
      </c>
      <c r="F19">
        <v>5223.6307538646342</v>
      </c>
      <c r="G19">
        <v>5383.1947899644783</v>
      </c>
      <c r="H19">
        <v>12</v>
      </c>
      <c r="I19" s="2">
        <f t="shared" si="0"/>
        <v>4332.6392202168654</v>
      </c>
      <c r="J19" s="2">
        <f t="shared" si="1"/>
        <v>1667.3607797831346</v>
      </c>
      <c r="K19" s="2">
        <f t="shared" si="2"/>
        <v>6000</v>
      </c>
      <c r="L19" s="2">
        <f>$B$5+SUM($I$8:I19)</f>
        <v>-245771.47774725332</v>
      </c>
      <c r="M19" s="3">
        <v>46515</v>
      </c>
    </row>
    <row r="20" spans="2:13" x14ac:dyDescent="0.25">
      <c r="B20">
        <v>8</v>
      </c>
      <c r="C20">
        <v>4183.1932404143781</v>
      </c>
      <c r="D20">
        <v>4335.1504410419875</v>
      </c>
      <c r="E20">
        <v>4648.2896607267649</v>
      </c>
      <c r="F20">
        <v>4809.3880582187694</v>
      </c>
      <c r="G20">
        <v>4973.4449307576888</v>
      </c>
      <c r="H20">
        <v>13</v>
      </c>
      <c r="I20" s="2">
        <f t="shared" si="0"/>
        <v>4361.5234816849779</v>
      </c>
      <c r="J20" s="2">
        <f t="shared" si="1"/>
        <v>1638.4765183150218</v>
      </c>
      <c r="K20" s="2">
        <f t="shared" si="2"/>
        <v>6000</v>
      </c>
      <c r="L20" s="2">
        <f>$B$5+SUM($I$8:I20)</f>
        <v>-241409.95426556835</v>
      </c>
      <c r="M20" s="3">
        <v>46546</v>
      </c>
    </row>
    <row r="21" spans="2:13" x14ac:dyDescent="0.25">
      <c r="H21">
        <v>14</v>
      </c>
      <c r="I21" s="2">
        <f t="shared" si="0"/>
        <v>4390.6003048962111</v>
      </c>
      <c r="J21" s="2">
        <f t="shared" si="1"/>
        <v>1609.3996951037889</v>
      </c>
      <c r="K21" s="2">
        <f t="shared" si="2"/>
        <v>6000</v>
      </c>
      <c r="L21" s="2">
        <f>$B$5+SUM($I$8:I21)</f>
        <v>-237019.35396067213</v>
      </c>
      <c r="M21" s="3">
        <v>46576</v>
      </c>
    </row>
    <row r="22" spans="2:13" x14ac:dyDescent="0.25">
      <c r="H22">
        <v>15</v>
      </c>
      <c r="I22" s="2">
        <f t="shared" si="0"/>
        <v>4419.8709735955181</v>
      </c>
      <c r="J22" s="2">
        <f t="shared" si="1"/>
        <v>1580.129026404481</v>
      </c>
      <c r="K22" s="2">
        <f t="shared" si="2"/>
        <v>5999.9999999999991</v>
      </c>
      <c r="L22" s="2">
        <f>$B$5+SUM($I$8:I22)</f>
        <v>-232599.48298707663</v>
      </c>
      <c r="M22" s="3">
        <v>46607</v>
      </c>
    </row>
    <row r="23" spans="2:13" x14ac:dyDescent="0.25">
      <c r="H23">
        <v>16</v>
      </c>
      <c r="I23" s="2">
        <f t="shared" si="0"/>
        <v>4449.3367800861552</v>
      </c>
      <c r="J23" s="2">
        <f t="shared" si="1"/>
        <v>1550.6632199138439</v>
      </c>
      <c r="K23" s="2">
        <f t="shared" si="2"/>
        <v>5999.9999999999991</v>
      </c>
      <c r="L23" s="2">
        <f>$B$5+SUM($I$8:I23)</f>
        <v>-228150.14620699047</v>
      </c>
      <c r="M23" s="3">
        <v>46638</v>
      </c>
    </row>
    <row r="24" spans="2:13" x14ac:dyDescent="0.25">
      <c r="H24">
        <v>17</v>
      </c>
      <c r="I24" s="2">
        <f t="shared" si="0"/>
        <v>4478.9990252867301</v>
      </c>
      <c r="J24" s="2">
        <f t="shared" si="1"/>
        <v>1521.0009747132697</v>
      </c>
      <c r="K24" s="2">
        <f t="shared" si="2"/>
        <v>6000</v>
      </c>
      <c r="L24" s="2">
        <f>$B$5+SUM($I$8:I24)</f>
        <v>-223671.14718170374</v>
      </c>
      <c r="M24" s="3">
        <v>46668</v>
      </c>
    </row>
    <row r="25" spans="2:13" x14ac:dyDescent="0.25">
      <c r="H25">
        <v>18</v>
      </c>
      <c r="I25" s="2">
        <f t="shared" si="0"/>
        <v>4508.8590187886412</v>
      </c>
      <c r="J25" s="2">
        <f t="shared" si="1"/>
        <v>1491.1409812113584</v>
      </c>
      <c r="K25" s="2">
        <f t="shared" si="2"/>
        <v>6000</v>
      </c>
      <c r="L25" s="2">
        <f>$B$5+SUM($I$8:I25)</f>
        <v>-219162.28816291509</v>
      </c>
      <c r="M25" s="3">
        <v>46699</v>
      </c>
    </row>
    <row r="26" spans="2:13" x14ac:dyDescent="0.25">
      <c r="H26">
        <v>19</v>
      </c>
      <c r="I26" s="2">
        <f t="shared" si="0"/>
        <v>4538.9180789138991</v>
      </c>
      <c r="J26" s="2">
        <f t="shared" si="1"/>
        <v>1461.0819210861005</v>
      </c>
      <c r="K26" s="2">
        <f t="shared" si="2"/>
        <v>6000</v>
      </c>
      <c r="L26" s="2">
        <f>$B$5+SUM($I$8:I26)</f>
        <v>-214623.37008400119</v>
      </c>
      <c r="M26" s="3">
        <v>46729</v>
      </c>
    </row>
    <row r="27" spans="2:13" x14ac:dyDescent="0.25">
      <c r="H27">
        <v>20</v>
      </c>
      <c r="I27" s="2">
        <f t="shared" si="0"/>
        <v>4569.1775327733249</v>
      </c>
      <c r="J27" s="2">
        <f t="shared" si="1"/>
        <v>1430.8224672266749</v>
      </c>
      <c r="K27" s="2">
        <f t="shared" si="2"/>
        <v>6000</v>
      </c>
      <c r="L27" s="2">
        <f>$B$5+SUM($I$8:I27)</f>
        <v>-210054.19255122787</v>
      </c>
      <c r="M27" s="3">
        <v>46760</v>
      </c>
    </row>
    <row r="28" spans="2:13" x14ac:dyDescent="0.25">
      <c r="H28">
        <v>21</v>
      </c>
      <c r="I28" s="2">
        <f t="shared" si="0"/>
        <v>4599.6387163251475</v>
      </c>
      <c r="J28" s="2">
        <f t="shared" si="1"/>
        <v>1400.3612836748523</v>
      </c>
      <c r="K28" s="2">
        <f t="shared" si="2"/>
        <v>6000</v>
      </c>
      <c r="L28" s="2">
        <f>$B$5+SUM($I$8:I28)</f>
        <v>-205454.5538349027</v>
      </c>
      <c r="M28" s="3">
        <v>46791</v>
      </c>
    </row>
    <row r="29" spans="2:13" x14ac:dyDescent="0.25">
      <c r="H29">
        <v>22</v>
      </c>
      <c r="I29" s="2">
        <f t="shared" si="0"/>
        <v>4630.3029744339819</v>
      </c>
      <c r="J29" s="2">
        <f t="shared" si="1"/>
        <v>1369.6970255660178</v>
      </c>
      <c r="K29" s="2">
        <f t="shared" si="2"/>
        <v>6000</v>
      </c>
      <c r="L29" s="2">
        <f>$B$5+SUM($I$8:I29)</f>
        <v>-200824.25086046872</v>
      </c>
      <c r="M29" s="3">
        <v>46820</v>
      </c>
    </row>
    <row r="30" spans="2:13" x14ac:dyDescent="0.25">
      <c r="H30">
        <v>23</v>
      </c>
      <c r="I30" s="2">
        <f t="shared" si="0"/>
        <v>4661.1716609302084</v>
      </c>
      <c r="J30" s="2">
        <f t="shared" si="1"/>
        <v>1338.8283390697916</v>
      </c>
      <c r="K30" s="2">
        <f t="shared" si="2"/>
        <v>6000</v>
      </c>
      <c r="L30" s="2">
        <f>$B$5+SUM($I$8:I30)</f>
        <v>-196163.07919953851</v>
      </c>
      <c r="M30" s="3">
        <v>46851</v>
      </c>
    </row>
    <row r="31" spans="2:13" x14ac:dyDescent="0.25">
      <c r="H31">
        <v>24</v>
      </c>
      <c r="I31" s="2">
        <f t="shared" si="0"/>
        <v>4692.2461386697423</v>
      </c>
      <c r="J31" s="2">
        <f t="shared" si="1"/>
        <v>1307.7538613302565</v>
      </c>
      <c r="K31" s="2">
        <f t="shared" si="2"/>
        <v>5999.9999999999991</v>
      </c>
      <c r="L31" s="2">
        <f>$B$5+SUM($I$8:I31)</f>
        <v>-191470.83306086878</v>
      </c>
      <c r="M31" s="3">
        <v>46881</v>
      </c>
    </row>
    <row r="32" spans="2:13" x14ac:dyDescent="0.25">
      <c r="H32">
        <v>25</v>
      </c>
      <c r="I32" s="2">
        <f t="shared" si="0"/>
        <v>4723.5277795942075</v>
      </c>
      <c r="J32" s="2">
        <f t="shared" si="1"/>
        <v>1276.4722204057919</v>
      </c>
      <c r="K32" s="2">
        <f t="shared" si="2"/>
        <v>5999.9999999999991</v>
      </c>
      <c r="L32" s="2">
        <f>$B$5+SUM($I$8:I32)</f>
        <v>-186747.30528127457</v>
      </c>
      <c r="M32" s="3">
        <v>46912</v>
      </c>
    </row>
    <row r="33" spans="8:13" x14ac:dyDescent="0.25">
      <c r="H33">
        <v>26</v>
      </c>
      <c r="I33" s="2">
        <f t="shared" si="0"/>
        <v>4755.0179647915029</v>
      </c>
      <c r="J33" s="2">
        <f t="shared" si="1"/>
        <v>1244.9820352084971</v>
      </c>
      <c r="K33" s="2">
        <f t="shared" si="2"/>
        <v>6000</v>
      </c>
      <c r="L33" s="2">
        <f>$B$5+SUM($I$8:I33)</f>
        <v>-181992.28731648307</v>
      </c>
      <c r="M33" s="3">
        <v>46942</v>
      </c>
    </row>
    <row r="34" spans="8:13" x14ac:dyDescent="0.25">
      <c r="H34">
        <v>27</v>
      </c>
      <c r="I34" s="2">
        <f t="shared" si="0"/>
        <v>4786.71808455678</v>
      </c>
      <c r="J34" s="2">
        <f t="shared" si="1"/>
        <v>1213.2819154432204</v>
      </c>
      <c r="K34" s="2">
        <f t="shared" si="2"/>
        <v>6000</v>
      </c>
      <c r="L34" s="2">
        <f>$B$5+SUM($I$8:I34)</f>
        <v>-177205.56923192629</v>
      </c>
      <c r="M34" s="3">
        <v>46973</v>
      </c>
    </row>
    <row r="35" spans="8:13" x14ac:dyDescent="0.25">
      <c r="H35">
        <v>28</v>
      </c>
      <c r="I35" s="2">
        <f t="shared" si="0"/>
        <v>4818.6295384538234</v>
      </c>
      <c r="J35" s="2">
        <f t="shared" si="1"/>
        <v>1181.3704615461752</v>
      </c>
      <c r="K35" s="2">
        <f t="shared" si="2"/>
        <v>5999.9999999999982</v>
      </c>
      <c r="L35" s="2">
        <f>$B$5+SUM($I$8:I35)</f>
        <v>-172386.93969347246</v>
      </c>
      <c r="M35" s="3">
        <v>47004</v>
      </c>
    </row>
    <row r="36" spans="8:13" x14ac:dyDescent="0.25">
      <c r="H36">
        <v>29</v>
      </c>
      <c r="I36" s="2">
        <f t="shared" si="0"/>
        <v>4850.7537353768494</v>
      </c>
      <c r="J36" s="2">
        <f t="shared" si="1"/>
        <v>1149.2462646231497</v>
      </c>
      <c r="K36" s="2">
        <f t="shared" si="2"/>
        <v>5999.9999999999991</v>
      </c>
      <c r="L36" s="2">
        <f>$B$5+SUM($I$8:I36)</f>
        <v>-167536.18595809562</v>
      </c>
      <c r="M36" s="3">
        <v>47034</v>
      </c>
    </row>
    <row r="37" spans="8:13" x14ac:dyDescent="0.25">
      <c r="H37">
        <v>30</v>
      </c>
      <c r="I37" s="2">
        <f t="shared" si="0"/>
        <v>4883.0920936126959</v>
      </c>
      <c r="J37" s="2">
        <f t="shared" si="1"/>
        <v>1116.9079063873041</v>
      </c>
      <c r="K37" s="2">
        <f t="shared" si="2"/>
        <v>6000</v>
      </c>
      <c r="L37" s="2">
        <f>$B$5+SUM($I$8:I37)</f>
        <v>-162653.09386448291</v>
      </c>
      <c r="M37" s="3">
        <v>47065</v>
      </c>
    </row>
    <row r="38" spans="8:13" x14ac:dyDescent="0.25">
      <c r="H38">
        <v>31</v>
      </c>
      <c r="I38" s="2">
        <f t="shared" si="0"/>
        <v>4915.6460409034462</v>
      </c>
      <c r="J38" s="2">
        <f t="shared" si="1"/>
        <v>1084.3539590965527</v>
      </c>
      <c r="K38" s="2">
        <f t="shared" si="2"/>
        <v>5999.9999999999991</v>
      </c>
      <c r="L38" s="2">
        <f>$B$5+SUM($I$8:I38)</f>
        <v>-157737.44782357948</v>
      </c>
      <c r="M38" s="3">
        <v>47095</v>
      </c>
    </row>
    <row r="39" spans="8:13" x14ac:dyDescent="0.25">
      <c r="H39">
        <v>32</v>
      </c>
      <c r="I39" s="2">
        <f t="shared" si="0"/>
        <v>4948.4170145094704</v>
      </c>
      <c r="J39" s="2">
        <f t="shared" si="1"/>
        <v>1051.5829854905298</v>
      </c>
      <c r="K39" s="2">
        <f t="shared" si="2"/>
        <v>6000</v>
      </c>
      <c r="L39" s="2">
        <f>$B$5+SUM($I$8:I39)</f>
        <v>-152789.03080907001</v>
      </c>
      <c r="M39" s="3">
        <v>47126</v>
      </c>
    </row>
    <row r="40" spans="8:13" x14ac:dyDescent="0.25">
      <c r="H40">
        <v>33</v>
      </c>
      <c r="I40" s="2">
        <f t="shared" si="0"/>
        <v>4981.4064612728662</v>
      </c>
      <c r="J40" s="2">
        <f t="shared" si="1"/>
        <v>1018.5935387271333</v>
      </c>
      <c r="K40" s="2">
        <f t="shared" si="2"/>
        <v>5999.9999999999991</v>
      </c>
      <c r="L40" s="2">
        <f>$B$5+SUM($I$8:I40)</f>
        <v>-147807.62434779716</v>
      </c>
      <c r="M40" s="3">
        <v>47157</v>
      </c>
    </row>
    <row r="41" spans="8:13" x14ac:dyDescent="0.25">
      <c r="H41">
        <v>34</v>
      </c>
      <c r="I41" s="2">
        <f t="shared" si="0"/>
        <v>5014.6158376813519</v>
      </c>
      <c r="J41" s="2">
        <f t="shared" si="1"/>
        <v>985.38416231864744</v>
      </c>
      <c r="K41" s="2">
        <f t="shared" si="2"/>
        <v>5999.9999999999991</v>
      </c>
      <c r="L41" s="2">
        <f>$B$5+SUM($I$8:I41)</f>
        <v>-142793.00851011582</v>
      </c>
      <c r="M41" s="3">
        <v>47185</v>
      </c>
    </row>
    <row r="42" spans="8:13" x14ac:dyDescent="0.25">
      <c r="H42">
        <v>35</v>
      </c>
      <c r="I42" s="2">
        <f t="shared" si="0"/>
        <v>5048.0466099325613</v>
      </c>
      <c r="J42" s="2">
        <f t="shared" si="1"/>
        <v>951.95339006743848</v>
      </c>
      <c r="K42" s="2">
        <f t="shared" si="2"/>
        <v>6000</v>
      </c>
      <c r="L42" s="2">
        <f>$B$5+SUM($I$8:I42)</f>
        <v>-137744.96190018326</v>
      </c>
      <c r="M42" s="3">
        <v>47216</v>
      </c>
    </row>
    <row r="43" spans="8:13" x14ac:dyDescent="0.25">
      <c r="H43">
        <v>36</v>
      </c>
      <c r="I43" s="2">
        <f t="shared" si="0"/>
        <v>5081.700253998778</v>
      </c>
      <c r="J43" s="2">
        <f t="shared" si="1"/>
        <v>918.29974600122137</v>
      </c>
      <c r="K43" s="2">
        <f t="shared" si="2"/>
        <v>5999.9999999999991</v>
      </c>
      <c r="L43" s="2">
        <f>$B$5+SUM($I$8:I43)</f>
        <v>-132663.26164618449</v>
      </c>
      <c r="M43" s="3">
        <v>47246</v>
      </c>
    </row>
    <row r="44" spans="8:13" x14ac:dyDescent="0.25">
      <c r="H44">
        <v>37</v>
      </c>
      <c r="I44" s="2">
        <f t="shared" si="0"/>
        <v>5115.578255692104</v>
      </c>
      <c r="J44" s="2">
        <f t="shared" si="1"/>
        <v>884.42174430789623</v>
      </c>
      <c r="K44" s="2">
        <f t="shared" si="2"/>
        <v>6000</v>
      </c>
      <c r="L44" s="2">
        <f>$B$5+SUM($I$8:I44)</f>
        <v>-127547.6833904924</v>
      </c>
      <c r="M44" s="3">
        <v>47277</v>
      </c>
    </row>
    <row r="45" spans="8:13" x14ac:dyDescent="0.25">
      <c r="H45">
        <v>38</v>
      </c>
      <c r="I45" s="2">
        <f t="shared" si="0"/>
        <v>5149.6821107300502</v>
      </c>
      <c r="J45" s="2">
        <f t="shared" si="1"/>
        <v>850.31788926994875</v>
      </c>
      <c r="K45" s="2">
        <f t="shared" si="2"/>
        <v>5999.9999999999991</v>
      </c>
      <c r="L45" s="2">
        <f>$B$5+SUM($I$8:I45)</f>
        <v>-122398.00127976233</v>
      </c>
      <c r="M45" s="3">
        <v>47307</v>
      </c>
    </row>
    <row r="46" spans="8:13" x14ac:dyDescent="0.25">
      <c r="H46">
        <v>39</v>
      </c>
      <c r="I46" s="2">
        <f t="shared" si="0"/>
        <v>5184.0133248015845</v>
      </c>
      <c r="J46" s="2">
        <f t="shared" si="1"/>
        <v>815.98667519841524</v>
      </c>
      <c r="K46" s="2">
        <f t="shared" si="2"/>
        <v>6000</v>
      </c>
      <c r="L46" s="2">
        <f>$B$5+SUM($I$8:I46)</f>
        <v>-117213.98795496076</v>
      </c>
      <c r="M46" s="3">
        <v>47338</v>
      </c>
    </row>
    <row r="47" spans="8:13" x14ac:dyDescent="0.25">
      <c r="H47">
        <v>40</v>
      </c>
      <c r="I47" s="2">
        <f t="shared" si="0"/>
        <v>5218.573413633595</v>
      </c>
      <c r="J47" s="2">
        <f t="shared" si="1"/>
        <v>781.42658636640454</v>
      </c>
      <c r="K47" s="2">
        <f t="shared" si="2"/>
        <v>6000</v>
      </c>
      <c r="L47" s="2">
        <f>$B$5+SUM($I$8:I47)</f>
        <v>-111995.41454132716</v>
      </c>
      <c r="M47" s="3">
        <v>47369</v>
      </c>
    </row>
    <row r="48" spans="8:13" x14ac:dyDescent="0.25">
      <c r="H48">
        <v>41</v>
      </c>
      <c r="I48" s="2">
        <f t="shared" si="0"/>
        <v>5253.3639030578197</v>
      </c>
      <c r="J48" s="2">
        <f t="shared" si="1"/>
        <v>746.63609694218064</v>
      </c>
      <c r="K48" s="2">
        <f t="shared" si="2"/>
        <v>6000</v>
      </c>
      <c r="L48" s="2">
        <f>$B$5+SUM($I$8:I48)</f>
        <v>-106742.05063826934</v>
      </c>
      <c r="M48" s="3">
        <v>47399</v>
      </c>
    </row>
    <row r="49" spans="8:13" x14ac:dyDescent="0.25">
      <c r="H49">
        <v>42</v>
      </c>
      <c r="I49" s="2">
        <f t="shared" si="0"/>
        <v>5288.3863290782047</v>
      </c>
      <c r="J49" s="2">
        <f t="shared" si="1"/>
        <v>711.61367092179512</v>
      </c>
      <c r="K49" s="2">
        <f t="shared" si="2"/>
        <v>6000</v>
      </c>
      <c r="L49" s="2">
        <f>$B$5+SUM($I$8:I49)</f>
        <v>-101453.66430919114</v>
      </c>
      <c r="M49" s="3">
        <v>47430</v>
      </c>
    </row>
    <row r="50" spans="8:13" x14ac:dyDescent="0.25">
      <c r="H50">
        <v>43</v>
      </c>
      <c r="I50" s="2">
        <f t="shared" si="0"/>
        <v>5323.6422379387259</v>
      </c>
      <c r="J50" s="2">
        <f t="shared" si="1"/>
        <v>676.35776206127377</v>
      </c>
      <c r="K50" s="2">
        <f t="shared" si="2"/>
        <v>6000</v>
      </c>
      <c r="L50" s="2">
        <f>$B$5+SUM($I$8:I50)</f>
        <v>-96130.022071252402</v>
      </c>
      <c r="M50" s="3">
        <v>47460</v>
      </c>
    </row>
    <row r="51" spans="8:13" x14ac:dyDescent="0.25">
      <c r="H51">
        <v>44</v>
      </c>
      <c r="I51" s="2">
        <f t="shared" si="0"/>
        <v>5359.1331861916515</v>
      </c>
      <c r="J51" s="2">
        <f t="shared" si="1"/>
        <v>640.86681380834887</v>
      </c>
      <c r="K51" s="2">
        <f t="shared" si="2"/>
        <v>6000</v>
      </c>
      <c r="L51" s="2">
        <f>$B$5+SUM($I$8:I51)</f>
        <v>-90770.888885060762</v>
      </c>
      <c r="M51" s="3">
        <v>47491</v>
      </c>
    </row>
    <row r="52" spans="8:13" x14ac:dyDescent="0.25">
      <c r="H52">
        <v>45</v>
      </c>
      <c r="I52" s="2">
        <f t="shared" si="0"/>
        <v>5394.8607407662621</v>
      </c>
      <c r="J52" s="2">
        <f t="shared" si="1"/>
        <v>605.13925923373802</v>
      </c>
      <c r="K52" s="2">
        <f t="shared" si="2"/>
        <v>6000</v>
      </c>
      <c r="L52" s="2">
        <f>$B$5+SUM($I$8:I52)</f>
        <v>-85376.028144294512</v>
      </c>
      <c r="M52" s="3">
        <v>47522</v>
      </c>
    </row>
    <row r="53" spans="8:13" x14ac:dyDescent="0.25">
      <c r="H53">
        <v>46</v>
      </c>
      <c r="I53" s="2">
        <f t="shared" si="0"/>
        <v>5430.8264790380372</v>
      </c>
      <c r="J53" s="2">
        <f t="shared" si="1"/>
        <v>569.17352096196282</v>
      </c>
      <c r="K53" s="2">
        <f t="shared" si="2"/>
        <v>6000</v>
      </c>
      <c r="L53" s="2">
        <f>$B$5+SUM($I$8:I53)</f>
        <v>-79945.201665256463</v>
      </c>
      <c r="M53" s="3">
        <v>47550</v>
      </c>
    </row>
    <row r="54" spans="8:13" x14ac:dyDescent="0.25">
      <c r="H54">
        <v>47</v>
      </c>
      <c r="I54" s="2">
        <f t="shared" si="0"/>
        <v>5467.0319888982913</v>
      </c>
      <c r="J54" s="2">
        <f t="shared" si="1"/>
        <v>532.96801110170929</v>
      </c>
      <c r="K54" s="2">
        <f t="shared" si="2"/>
        <v>6000.0000000000009</v>
      </c>
      <c r="L54" s="2">
        <f>$B$5+SUM($I$8:I54)</f>
        <v>-74478.169676358171</v>
      </c>
      <c r="M54" s="3">
        <v>47581</v>
      </c>
    </row>
    <row r="55" spans="8:13" x14ac:dyDescent="0.25">
      <c r="H55">
        <v>48</v>
      </c>
      <c r="I55" s="2">
        <f t="shared" si="0"/>
        <v>5503.4788688242788</v>
      </c>
      <c r="J55" s="2">
        <f t="shared" si="1"/>
        <v>496.5211311757206</v>
      </c>
      <c r="K55" s="2">
        <f t="shared" si="2"/>
        <v>5999.9999999999991</v>
      </c>
      <c r="L55" s="2">
        <f>$B$5+SUM($I$8:I55)</f>
        <v>-68974.690807533887</v>
      </c>
      <c r="M55" s="3">
        <v>47611</v>
      </c>
    </row>
    <row r="56" spans="8:13" x14ac:dyDescent="0.25">
      <c r="H56">
        <v>49</v>
      </c>
      <c r="I56" s="2">
        <f t="shared" si="0"/>
        <v>5540.1687279497746</v>
      </c>
      <c r="J56" s="2">
        <f t="shared" si="1"/>
        <v>459.83127205022544</v>
      </c>
      <c r="K56" s="2">
        <f t="shared" si="2"/>
        <v>6000</v>
      </c>
      <c r="L56" s="2">
        <f>$B$5+SUM($I$8:I56)</f>
        <v>-63434.522079584101</v>
      </c>
      <c r="M56" s="3">
        <v>47642</v>
      </c>
    </row>
    <row r="57" spans="8:13" x14ac:dyDescent="0.25">
      <c r="H57">
        <v>50</v>
      </c>
      <c r="I57" s="2">
        <f t="shared" si="0"/>
        <v>5577.1031861361062</v>
      </c>
      <c r="J57" s="2">
        <f t="shared" si="1"/>
        <v>422.89681386389367</v>
      </c>
      <c r="K57" s="2">
        <f t="shared" si="2"/>
        <v>6000</v>
      </c>
      <c r="L57" s="2">
        <f>$B$5+SUM($I$8:I57)</f>
        <v>-57857.41889344799</v>
      </c>
      <c r="M57" s="3">
        <v>47672</v>
      </c>
    </row>
    <row r="58" spans="8:13" x14ac:dyDescent="0.25">
      <c r="H58">
        <v>51</v>
      </c>
      <c r="I58" s="2">
        <f t="shared" si="0"/>
        <v>5614.28387404368</v>
      </c>
      <c r="J58" s="2">
        <f t="shared" si="1"/>
        <v>385.71612595631956</v>
      </c>
      <c r="K58" s="2">
        <f t="shared" si="2"/>
        <v>6000</v>
      </c>
      <c r="L58" s="2">
        <f>$B$5+SUM($I$8:I58)</f>
        <v>-52243.135019404319</v>
      </c>
      <c r="M58" s="3">
        <v>47703</v>
      </c>
    </row>
    <row r="59" spans="8:13" x14ac:dyDescent="0.25">
      <c r="H59">
        <v>52</v>
      </c>
      <c r="I59" s="2">
        <f t="shared" si="0"/>
        <v>5651.7124332039712</v>
      </c>
      <c r="J59" s="2">
        <f t="shared" si="1"/>
        <v>348.28756679602839</v>
      </c>
      <c r="K59" s="2">
        <f t="shared" si="2"/>
        <v>6000</v>
      </c>
      <c r="L59" s="2">
        <f>$B$5+SUM($I$8:I59)</f>
        <v>-46591.422586200351</v>
      </c>
      <c r="M59" s="3">
        <v>47734</v>
      </c>
    </row>
    <row r="60" spans="8:13" x14ac:dyDescent="0.25">
      <c r="H60">
        <v>53</v>
      </c>
      <c r="I60" s="2">
        <f t="shared" si="0"/>
        <v>5689.3905160919976</v>
      </c>
      <c r="J60" s="2">
        <f t="shared" si="1"/>
        <v>310.60948390800189</v>
      </c>
      <c r="K60" s="2">
        <f t="shared" si="2"/>
        <v>5999.9999999999991</v>
      </c>
      <c r="L60" s="2">
        <f>$B$5+SUM($I$8:I60)</f>
        <v>-40902.03207010834</v>
      </c>
      <c r="M60" s="3">
        <v>47764</v>
      </c>
    </row>
    <row r="61" spans="8:13" x14ac:dyDescent="0.25">
      <c r="H61">
        <v>54</v>
      </c>
      <c r="I61" s="2">
        <f t="shared" si="0"/>
        <v>5727.3197861992785</v>
      </c>
      <c r="J61" s="2">
        <f t="shared" si="1"/>
        <v>272.6802138007219</v>
      </c>
      <c r="K61" s="2">
        <f t="shared" si="2"/>
        <v>6000</v>
      </c>
      <c r="L61" s="2">
        <f>$B$5+SUM($I$8:I61)</f>
        <v>-35174.712283909059</v>
      </c>
      <c r="M61" s="3">
        <v>47795</v>
      </c>
    </row>
    <row r="62" spans="8:13" x14ac:dyDescent="0.25">
      <c r="H62">
        <v>55</v>
      </c>
      <c r="I62" s="2">
        <f t="shared" si="0"/>
        <v>5765.501918107273</v>
      </c>
      <c r="J62" s="2">
        <f t="shared" si="1"/>
        <v>234.49808189272673</v>
      </c>
      <c r="K62" s="2">
        <f t="shared" si="2"/>
        <v>6000</v>
      </c>
      <c r="L62" s="2">
        <f>$B$5+SUM($I$8:I62)</f>
        <v>-29409.210365801759</v>
      </c>
      <c r="M62" s="3">
        <v>47825</v>
      </c>
    </row>
    <row r="63" spans="8:13" x14ac:dyDescent="0.25">
      <c r="H63">
        <v>56</v>
      </c>
      <c r="I63" s="2">
        <f t="shared" si="0"/>
        <v>5803.9385975613213</v>
      </c>
      <c r="J63" s="2">
        <f t="shared" si="1"/>
        <v>196.06140243867827</v>
      </c>
      <c r="K63" s="2">
        <f t="shared" si="2"/>
        <v>6000</v>
      </c>
      <c r="L63" s="2">
        <f>$B$5+SUM($I$8:I63)</f>
        <v>-23605.271768240433</v>
      </c>
      <c r="M63" s="3">
        <v>47856</v>
      </c>
    </row>
    <row r="64" spans="8:13" x14ac:dyDescent="0.25">
      <c r="H64">
        <v>57</v>
      </c>
      <c r="I64" s="2">
        <f t="shared" si="0"/>
        <v>5842.6315215450641</v>
      </c>
      <c r="J64" s="2">
        <f t="shared" si="1"/>
        <v>157.36847845493611</v>
      </c>
      <c r="K64" s="2">
        <f t="shared" si="2"/>
        <v>6000</v>
      </c>
      <c r="L64" s="2">
        <f>$B$5+SUM($I$8:I64)</f>
        <v>-17762.640246695373</v>
      </c>
      <c r="M64" s="3">
        <v>47887</v>
      </c>
    </row>
    <row r="65" spans="8:13" x14ac:dyDescent="0.25">
      <c r="H65">
        <v>58</v>
      </c>
      <c r="I65" s="2">
        <f t="shared" si="0"/>
        <v>5881.5823983553646</v>
      </c>
      <c r="J65" s="2">
        <f t="shared" si="1"/>
        <v>118.41760164463565</v>
      </c>
      <c r="K65" s="2">
        <f t="shared" si="2"/>
        <v>6000</v>
      </c>
      <c r="L65" s="2">
        <f>$B$5+SUM($I$8:I65)</f>
        <v>-11881.057848340017</v>
      </c>
      <c r="M65" s="3">
        <v>47915</v>
      </c>
    </row>
    <row r="66" spans="8:13" x14ac:dyDescent="0.25">
      <c r="H66">
        <v>59</v>
      </c>
      <c r="I66" s="2">
        <f t="shared" si="0"/>
        <v>5920.7929476777326</v>
      </c>
      <c r="J66" s="2">
        <f t="shared" si="1"/>
        <v>79.207052322266563</v>
      </c>
      <c r="K66" s="2">
        <f t="shared" si="2"/>
        <v>5999.9999999999991</v>
      </c>
      <c r="L66" s="2">
        <f>$B$5+SUM($I$8:I66)</f>
        <v>-5960.264900662296</v>
      </c>
      <c r="M66" s="3">
        <v>47946</v>
      </c>
    </row>
    <row r="67" spans="8:13" x14ac:dyDescent="0.25">
      <c r="H67">
        <v>60</v>
      </c>
      <c r="I67" s="2">
        <f t="shared" si="0"/>
        <v>5960.2649006622514</v>
      </c>
      <c r="J67" s="2">
        <f t="shared" si="1"/>
        <v>39.735099337748338</v>
      </c>
      <c r="K67" s="2">
        <f t="shared" si="2"/>
        <v>6000</v>
      </c>
      <c r="L67" s="2">
        <f>$B$5+SUM($I$8:I67)</f>
        <v>0</v>
      </c>
      <c r="M67" s="3">
        <v>47976</v>
      </c>
    </row>
  </sheetData>
  <scenarios current="2" sqref="B15">
    <scenario name="7 years" locked="1" count="1" user="Laptop" comment="Created by Laptop on 6/8/2026">
      <inputCells r="B7" val="7"/>
    </scenario>
    <scenario name="8 years" locked="1" count="1" user="Laptop" comment="Created by Laptop on 6/8/2026">
      <inputCells r="B7" val="8"/>
    </scenario>
    <scenario name="9 years" locked="1" count="1" user="Laptop" comment="Created by Laptop on 6/8/2026">
      <inputCells r="B7" val="9"/>
    </scenario>
  </scenario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2026-06-08T11:50:26Z</dcterms:created>
  <dcterms:modified xsi:type="dcterms:W3CDTF">2026-06-08T12:11:55Z</dcterms:modified>
</cp:coreProperties>
</file>